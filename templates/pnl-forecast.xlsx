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46f4bac8e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b28d9611b4743fc"/>
    <x:sheet xmlns:r="http://schemas.openxmlformats.org/officeDocument/2006/relationships" name="Assumptions" sheetId="2" r:id="Rddc2aee0d4454b1f"/>
    <x:sheet xmlns:r="http://schemas.openxmlformats.org/officeDocument/2006/relationships" name="Scenarios" sheetId="3" r:id="Rdbc56b09d95148bc"/>
    <x:sheet xmlns:r="http://schemas.openxmlformats.org/officeDocument/2006/relationships" name="Forecast" sheetId="4" r:id="R3130045ca85544a5"/>
    <x:sheet xmlns:r="http://schemas.openxmlformats.org/officeDocument/2006/relationships" name="Variance" sheetId="5" r:id="Ref2b61aa2f7e4c53"/>
    <x:sheet xmlns:r="http://schemas.openxmlformats.org/officeDocument/2006/relationships" name="Checks" sheetId="6" r:id="R5cc9ba4ccc8745ac"/>
    <x:sheet xmlns:r="http://schemas.openxmlformats.org/officeDocument/2006/relationships" name="Sources" sheetId="7" r:id="R9a2db54396d1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x"/>
    <x:numFmt numFmtId="202" formatCode="mmm-yy"/>
    <x:numFmt numFmtId="203" formatCode="#,##0.0;[Red](#,##0.0);-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1F1F1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7F7F7F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4" borderId="0" xfId="0" applyNumberFormat="1" applyFont="1" applyFill="1" applyBorder="1" applyAlignment="1">
      <x:alignment horizontal="right"/>
    </x:xf>
    <x:xf numFmtId="202" fontId="3" fillId="4" borderId="0" xfId="0" applyNumberFormat="1" applyFont="1" applyFill="1" applyBorder="1" applyAlignment="1">
      <x:alignment horizontal="right"/>
    </x:xf>
    <x:xf numFmtId="202" fontId="3" fillId="4" borderId="2" xfId="0" applyNumberFormat="1" applyFont="1" applyFill="1" applyBorder="1" applyAlignment="1">
      <x:alignment horizontal="right"/>
    </x:xf>
    <x:xf numFmtId="202" fontId="3" fillId="4" borderId="3" xfId="0" applyNumberFormat="1" applyFont="1" applyFill="1" applyBorder="1" applyAlignment="1">
      <x:alignment horizontal="right"/>
    </x:xf>
    <x:xf numFmtId="202" fontId="3" fillId="4" borderId="2" xfId="0" applyNumberFormat="1" applyFont="1" applyFill="1" applyBorder="1" applyAlignment="1">
      <x:alignment horizontal="right" vertical="center"/>
    </x:xf>
    <x:xf numFmtId="202" fontId="3" fillId="4" borderId="3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4" xfId="0" applyNumberFormat="1" applyFont="1" applyFill="1" applyBorder="1"/>
    <x:xf numFmtId="203" fontId="6" fillId="0" borderId="4" xfId="0" applyNumberFormat="1" applyFont="1" applyFill="1" applyBorder="1"/>
    <x:xf numFmtId="0" fontId="7" fillId="0" borderId="0" xfId="0" applyNumberFormat="1" applyFont="1" applyFill="1" applyBorder="1"/>
    <x:xf numFmtId="203" fontId="4" fillId="5" borderId="0" xfId="0" applyNumberFormat="1" applyFont="1" applyFill="1" applyBorder="1"/>
    <x:xf numFmtId="203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4a615c1374a76" /><Relationship Type="http://schemas.openxmlformats.org/officeDocument/2006/relationships/theme" Target="/xl/theme/theme1.xml" Id="Rbe7f1cbf626a40ba" /><Relationship Type="http://schemas.openxmlformats.org/officeDocument/2006/relationships/sharedStrings" Target="/xl/sharedStrings.xml" Id="Re916a431ec6a4e2f" /><Relationship Type="http://schemas.openxmlformats.org/officeDocument/2006/relationships/worksheet" Target="/xl/worksheets/sheet1.xml" Id="R9b28d9611b4743fc" /><Relationship Type="http://schemas.openxmlformats.org/officeDocument/2006/relationships/worksheet" Target="/xl/worksheets/sheet2.xml" Id="Rddc2aee0d4454b1f" /><Relationship Type="http://schemas.openxmlformats.org/officeDocument/2006/relationships/worksheet" Target="/xl/worksheets/sheet3.xml" Id="Rdbc56b09d95148bc" /><Relationship Type="http://schemas.openxmlformats.org/officeDocument/2006/relationships/worksheet" Target="/xl/worksheets/sheet4.xml" Id="R3130045ca85544a5" /><Relationship Type="http://schemas.openxmlformats.org/officeDocument/2006/relationships/worksheet" Target="/xl/worksheets/sheet5.xml" Id="Ref2b61aa2f7e4c53" /><Relationship Type="http://schemas.openxmlformats.org/officeDocument/2006/relationships/worksheet" Target="/xl/worksheets/sheet6.xml" Id="R5cc9ba4ccc8745ac" /><Relationship Type="http://schemas.openxmlformats.org/officeDocument/2006/relationships/worksheet" Target="/xl/worksheets/sheet7.xml" Id="R9a2db54396d141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</x:cols>
  <x:sheetData>
    <x:row r="1" ht="26" customHeight="1">
      <x:c r="A1" s="3" t="str">
        <x:v>P&amp;L e Rolling Forecast — Operação Brasil</x:v>
      </x:c>
      <x:c r="B1" s="3" t="str">
        <x:v>P&amp;L e Rolling Forecast — Operação Brasil</x:v>
      </x:c>
      <x:c r="C1" s="3" t="str">
        <x:v>P&amp;L e Rolling Forecast — Operação Brasil</x:v>
      </x:c>
      <x:c r="D1" s="3" t="str">
        <x:v>P&amp;L e Rolling Forecast — Operação Brasil</x:v>
      </x:c>
      <x:c r="E1" s="3" t="str">
        <x:v>P&amp;L e Rolling Forecast — Operação Brasil</x:v>
      </x:c>
      <x:c r="F1" s="3" t="str">
        <x:v>P&amp;L e Rolling Forecast — Operação Brasil</x:v>
      </x:c>
      <x:c r="G1" s="3" t="str">
        <x:v>P&amp;L e Rolling Forecast — Operação Brasil</x:v>
      </x:c>
      <x:c r="H1" s="3" t="str">
        <x:v>P&amp;L e Rolling Forecast — Operação Brasil</x:v>
      </x:c>
    </x:row>
    <x:row r="2" ht="26" customHeight="1">
      <x:c r="A2" s="3" t="str">
        <x:v>P&amp;L e Rolling Forecast — Operação Brasil</x:v>
      </x:c>
      <x:c r="B2" s="3" t="str">
        <x:v>P&amp;L e Rolling Forecast — Operação Brasil</x:v>
      </x:c>
      <x:c r="C2" s="3" t="str">
        <x:v>P&amp;L e Rolling Forecast — Operação Brasil</x:v>
      </x:c>
      <x:c r="D2" s="3" t="str">
        <x:v>P&amp;L e Rolling Forecast — Operação Brasil</x:v>
      </x:c>
      <x:c r="E2" s="3" t="str">
        <x:v>P&amp;L e Rolling Forecast — Operação Brasil</x:v>
      </x:c>
      <x:c r="F2" s="3" t="str">
        <x:v>P&amp;L e Rolling Forecast — Operação Brasil</x:v>
      </x:c>
      <x:c r="G2" s="3" t="str">
        <x:v>P&amp;L e Rolling Forecast — Operação Brasil</x:v>
      </x:c>
      <x:c r="H2" s="3" t="str">
        <x:v>P&amp;L e Rolling Forecast — Operação Brasil</x:v>
      </x:c>
    </x:row>
    <x:row r="4">
      <x:c r="A4" s="5" t="str">
        <x:v>Purpose</x:v>
      </x:c>
      <x:c r="B4" s="6" t="str">
        <x:v>Modelar base/upside/downside e variações mensais para decisão executiva.</x:v>
      </x:c>
    </x:row>
    <x:row r="5">
      <x:c r="A5" s="5" t="str">
        <x:v>Version</x:v>
      </x:c>
      <x:c r="B5" s="6" t="str">
        <x:v>1.0</x:v>
      </x:c>
    </x:row>
    <x:row r="6">
      <x:c r="A6" s="5" t="str">
        <x:v>As of</x:v>
      </x:c>
      <x:c r="B6" s="6" t="str">
        <x:v>2026-07-23</x:v>
      </x:c>
    </x:row>
    <x:row r="7">
      <x:c r="A7" s="5" t="str">
        <x:v>Currency / scale</x:v>
      </x:c>
      <x:c r="B7" s="6" t="str">
        <x:v>BRL thousands</x:v>
      </x:c>
    </x:row>
    <x:row r="8">
      <x:c r="A8" s="5" t="str">
        <x:v>Forecast</x:v>
      </x:c>
      <x:c r="B8" s="6" t="str">
        <x:v>Jan-2026 to Dec-2027, monthly</x:v>
      </x:c>
    </x:row>
    <x:row r="9">
      <x:c r="A9" s="5" t="str">
        <x:v>Scenario</x:v>
      </x:c>
      <x:c r="B9" s="6" t="str">
        <x:v>Selector on Assumptions sheet</x:v>
      </x:c>
    </x:row>
    <x:row r="10">
      <x:c r="A10" s="5" t="str">
        <x:v>Color convention</x:v>
      </x:c>
      <x:c r="B10" s="6" t="str">
        <x:v>Blue font = input; black = formula; green = cross-sheet link.</x:v>
      </x:c>
    </x:row>
    <x:row r="11">
      <x:c r="A11" s="5" t="str">
        <x:v>Model status</x:v>
      </x:c>
      <x:c r="B11" s="6" t="str">
        <x:v>See Checks sheet.</x:v>
      </x:c>
    </x:row>
    <x:row r="12">
      <x:c r="A12" s="5" t="str">
        <x:v>Use</x:v>
      </x:c>
      <x:c r="B12" s="6" t="str">
        <x:v>Synthetic teaching case; not target-company economics.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.25" hidden="0" customWidth="1"/>
    <x:col min="3" max="3" width="18.75" hidden="0" customWidth="1"/>
    <x:col min="4" max="4" width="43.75" hidden="0" customWidth="1"/>
  </x:cols>
  <x:sheetData>
    <x:row r="1" ht="26" customHeight="1">
      <x:c r="A1" s="3" t="str">
        <x:v>Assumptions</x:v>
      </x:c>
      <x:c r="B1" s="3" t="str">
        <x:v>Assumptions</x:v>
      </x:c>
      <x:c r="C1" s="3" t="str">
        <x:v>Assumptions</x:v>
      </x:c>
      <x:c r="D1" s="3" t="str">
        <x:v>Assumptions</x:v>
      </x:c>
    </x:row>
    <x:row r="2" ht="26" customHeight="1">
      <x:c r="A2" s="3" t="str">
        <x:v>Assumptions</x:v>
      </x:c>
      <x:c r="B2" s="3" t="str">
        <x:v>Assumptions</x:v>
      </x:c>
      <x:c r="C2" s="3" t="str">
        <x:v>Assumptions</x:v>
      </x:c>
      <x:c r="D2" s="3" t="str">
        <x:v>Assumptions</x:v>
      </x:c>
    </x:row>
    <x:row r="4">
      <x:c r="A4" s="12" t="str">
        <x:v>Driver</x:v>
      </x:c>
      <x:c r="B4" s="13" t="str">
        <x:v>Value</x:v>
      </x:c>
      <x:c r="C4" s="13" t="str">
        <x:v>Unit</x:v>
      </x:c>
      <x:c r="D4" s="14" t="str">
        <x:v>Note</x:v>
      </x:c>
    </x:row>
    <x:row r="5">
      <x:c r="A5" t="str">
        <x:v>Scenario selector</x:v>
      </x:c>
      <x:c r="B5" s="16" t="str">
        <x:v>Base</x:v>
      </x:c>
      <x:c r="C5" t="str">
        <x:v>Base/Upside/Downside</x:v>
      </x:c>
      <x:c r="D5" t="str">
        <x:v>Editable</x:v>
      </x:c>
    </x:row>
    <x:row r="6">
      <x:c r="A6" t="str">
        <x:v>Initial self-serve revenue</x:v>
      </x:c>
      <x:c r="B6" s="16" t="n">
        <x:v>200</x:v>
      </x:c>
      <x:c r="C6" t="str">
        <x:v>BRL k</x:v>
      </x:c>
      <x:c r="D6" t="str">
        <x:v>Synthetic</x:v>
      </x:c>
    </x:row>
    <x:row r="7">
      <x:c r="A7" t="str">
        <x:v>Monthly self-serve growth</x:v>
      </x:c>
      <x:c r="B7" s="17" t="n">
        <x:v>0.08</x:v>
      </x:c>
      <x:c r="C7" t="str">
        <x:v>%</x:v>
      </x:c>
      <x:c r="D7" t="str">
        <x:v>before churn</x:v>
      </x:c>
    </x:row>
    <x:row r="8">
      <x:c r="A8" t="str">
        <x:v>Initial enterprise revenue</x:v>
      </x:c>
      <x:c r="B8" s="16" t="n">
        <x:v>400</x:v>
      </x:c>
      <x:c r="C8" t="str">
        <x:v>BRL k</x:v>
      </x:c>
      <x:c r="D8" t="str">
        <x:v>Synthetic</x:v>
      </x:c>
    </x:row>
    <x:row r="9">
      <x:c r="A9" t="str">
        <x:v>Monthly enterprise growth</x:v>
      </x:c>
      <x:c r="B9" s="17" t="n">
        <x:v>0.1</x:v>
      </x:c>
      <x:c r="C9" t="str">
        <x:v>%</x:v>
      </x:c>
      <x:c r="D9" t="str">
        <x:v>before churn</x:v>
      </x:c>
    </x:row>
    <x:row r="10">
      <x:c r="A10" t="str">
        <x:v>Monthly revenue churn</x:v>
      </x:c>
      <x:c r="B10" s="17" t="n">
        <x:v>0.02</x:v>
      </x:c>
      <x:c r="C10" t="str">
        <x:v>%</x:v>
      </x:c>
      <x:c r="D10" t="str">
        <x:v>applied to prior revenue</x:v>
      </x:c>
    </x:row>
    <x:row r="11">
      <x:c r="A11" t="str">
        <x:v>COGS % revenue</x:v>
      </x:c>
      <x:c r="B11" s="17" t="n">
        <x:v>0.28</x:v>
      </x:c>
      <x:c r="C11" t="str">
        <x:v>%</x:v>
      </x:c>
      <x:c r="D11" t="str">
        <x:v>includes workload/support in teaching model</x:v>
      </x:c>
    </x:row>
    <x:row r="12">
      <x:c r="A12" t="str">
        <x:v>Initial payroll</x:v>
      </x:c>
      <x:c r="B12" s="16" t="n">
        <x:v>390</x:v>
      </x:c>
      <x:c r="C12" t="str">
        <x:v>BRL k</x:v>
      </x:c>
      <x:c r="D12" t="str">
        <x:v>Synthetic</x:v>
      </x:c>
    </x:row>
    <x:row r="13">
      <x:c r="A13" t="str">
        <x:v>Monthly payroll growth</x:v>
      </x:c>
      <x:c r="B13" s="17" t="n">
        <x:v>0.03</x:v>
      </x:c>
      <x:c r="C13" t="str">
        <x:v>%</x:v>
      </x:c>
      <x:c r="D13" t="str">
        <x:v>hiring/ramp proxy</x:v>
      </x:c>
    </x:row>
    <x:row r="14">
      <x:c r="A14" t="str">
        <x:v>Initial non-payroll opex</x:v>
      </x:c>
      <x:c r="B14" s="16" t="n">
        <x:v>260</x:v>
      </x:c>
      <x:c r="C14" t="str">
        <x:v>BRL k</x:v>
      </x:c>
      <x:c r="D14" t="str">
        <x:v>Synthetic</x:v>
      </x:c>
    </x:row>
    <x:row r="15">
      <x:c r="A15" t="str">
        <x:v>Monthly non-payroll growth</x:v>
      </x:c>
      <x:c r="B15" s="17" t="n">
        <x:v>0.01</x:v>
      </x:c>
      <x:c r="C15" t="str">
        <x:v>%</x:v>
      </x:c>
      <x:c r="D15" t="str">
        <x:v>Synthetic</x:v>
      </x:c>
    </x:row>
    <x:row r="16">
      <x:c r="A16" t="str">
        <x:v>Initial cash</x:v>
      </x:c>
      <x:c r="B16" s="16" t="n">
        <x:v>6000</x:v>
      </x:c>
      <x:c r="C16" t="str">
        <x:v>BRL k</x:v>
      </x:c>
      <x:c r="D16" t="str">
        <x:v>Synthetic</x:v>
      </x:c>
    </x:row>
    <x:row r="17">
      <x:c r="A17" t="str">
        <x:v>HQ funding month</x:v>
      </x:c>
      <x:c r="B17" s="16" t="n">
        <x:v>7</x:v>
      </x:c>
      <x:c r="C17" t="str">
        <x:v>month index</x:v>
      </x:c>
      <x:c r="D17" t="str">
        <x:v>Synthetic</x:v>
      </x:c>
    </x:row>
    <x:row r="18">
      <x:c r="A18" t="str">
        <x:v>HQ funding amount</x:v>
      </x:c>
      <x:c r="B18" s="16" t="n">
        <x:v>4000</x:v>
      </x:c>
      <x:c r="C18" t="str">
        <x:v>BRL k</x:v>
      </x:c>
      <x:c r="D18" t="str">
        <x:v>Synthetic</x:v>
      </x:c>
    </x:row>
  </x:sheetData>
  <x:mergeCells>
    <x:mergeCell ref="A1:D2"/>
  </x:mergeCells>
  <x:dataValidations count="1">
    <x:dataValidation type="list" sqref="B5">
      <x:formula1>"Base,Upside,Downside"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</x:cols>
  <x:sheetData>
    <x:row r="1" ht="26" customHeight="1">
      <x:c r="A1" s="3" t="str">
        <x:v>Scenario Multipliers</x:v>
      </x:c>
      <x:c r="B1" s="3" t="str">
        <x:v>Scenario Multipliers</x:v>
      </x:c>
      <x:c r="C1" s="3" t="str">
        <x:v>Scenario Multipliers</x:v>
      </x:c>
      <x:c r="D1" s="3" t="str">
        <x:v>Scenario Multipliers</x:v>
      </x:c>
      <x:c r="E1" s="3" t="str">
        <x:v>Scenario Multipliers</x:v>
      </x:c>
      <x:c r="F1" s="3" t="str">
        <x:v>Scenario Multipliers</x:v>
      </x:c>
    </x:row>
    <x:row r="2" ht="26" customHeight="1">
      <x:c r="A2" s="3" t="str">
        <x:v>Scenario Multipliers</x:v>
      </x:c>
      <x:c r="B2" s="3" t="str">
        <x:v>Scenario Multipliers</x:v>
      </x:c>
      <x:c r="C2" s="3" t="str">
        <x:v>Scenario Multipliers</x:v>
      </x:c>
      <x:c r="D2" s="3" t="str">
        <x:v>Scenario Multipliers</x:v>
      </x:c>
      <x:c r="E2" s="3" t="str">
        <x:v>Scenario Multipliers</x:v>
      </x:c>
      <x:c r="F2" s="3" t="str">
        <x:v>Scenario Multipliers</x:v>
      </x:c>
    </x:row>
    <x:row r="4">
      <x:c r="A4" s="12" t="str">
        <x:v>Scenario</x:v>
      </x:c>
      <x:c r="B4" s="13" t="str">
        <x:v>Revenue growth</x:v>
      </x:c>
      <x:c r="C4" s="13" t="str">
        <x:v>Churn</x:v>
      </x:c>
      <x:c r="D4" s="13" t="str">
        <x:v>COGS</x:v>
      </x:c>
      <x:c r="E4" s="13" t="str">
        <x:v>Payroll</x:v>
      </x:c>
      <x:c r="F4" s="14" t="str">
        <x:v>Non-payroll</x:v>
      </x:c>
    </x:row>
    <x:row r="5">
      <x:c r="A5" t="str">
        <x:v>Base</x:v>
      </x:c>
      <x:c r="B5" s="18" t="n">
        <x:v>1</x:v>
      </x:c>
      <x:c r="C5" s="18" t="n">
        <x:v>1</x:v>
      </x:c>
      <x:c r="D5" s="18" t="n">
        <x:v>1</x:v>
      </x:c>
      <x:c r="E5" s="18" t="n">
        <x:v>1</x:v>
      </x:c>
      <x:c r="F5" s="18" t="n">
        <x:v>1</x:v>
      </x:c>
    </x:row>
    <x:row r="6">
      <x:c r="A6" t="str">
        <x:v>Upside</x:v>
      </x:c>
      <x:c r="B6" s="18" t="n">
        <x:v>1.2</x:v>
      </x:c>
      <x:c r="C6" s="18" t="n">
        <x:v>0.75</x:v>
      </x:c>
      <x:c r="D6" s="18" t="n">
        <x:v>0.95</x:v>
      </x:c>
      <x:c r="E6" s="18" t="n">
        <x:v>1.08</x:v>
      </x:c>
      <x:c r="F6" s="18" t="n">
        <x:v>1.05</x:v>
      </x:c>
    </x:row>
    <x:row r="7">
      <x:c r="A7" t="str">
        <x:v>Downside</x:v>
      </x:c>
      <x:c r="B7" s="18" t="n">
        <x:v>0.65</x:v>
      </x:c>
      <x:c r="C7" s="18" t="n">
        <x:v>1.75</x:v>
      </x:c>
      <x:c r="D7" s="18" t="n">
        <x:v>1.15</x:v>
      </x:c>
      <x:c r="E7" s="18" t="n">
        <x:v>0.96</x:v>
      </x:c>
      <x:c r="F7" s="18" t="n">
        <x:v>0.9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0.5" hidden="0" customWidth="1"/>
  </x:cols>
  <x:sheetData>
    <x:row r="1" ht="26" customHeight="1">
      <x:c r="A1" s="3" t="str">
        <x:v>Forecast</x:v>
      </x:c>
      <x:c r="B1" s="3" t="str">
        <x:v>Forecast</x:v>
      </x:c>
      <x:c r="C1" s="3" t="str">
        <x:v>Forecast</x:v>
      </x:c>
      <x:c r="D1" s="3" t="str">
        <x:v>Forecast</x:v>
      </x:c>
      <x:c r="E1" s="3" t="str">
        <x:v>Forecast</x:v>
      </x:c>
      <x:c r="F1" s="3" t="str">
        <x:v>Forecast</x:v>
      </x:c>
      <x:c r="G1" s="3" t="str">
        <x:v>Forecast</x:v>
      </x:c>
      <x:c r="H1" s="3" t="str">
        <x:v>Forecast</x:v>
      </x:c>
      <x:c r="I1" s="3" t="str">
        <x:v>Forecast</x:v>
      </x:c>
      <x:c r="J1" s="3" t="str">
        <x:v>Forecast</x:v>
      </x:c>
      <x:c r="K1" s="3" t="str">
        <x:v>Forecast</x:v>
      </x:c>
      <x:c r="L1" s="3" t="str">
        <x:v>Forecast</x:v>
      </x:c>
      <x:c r="M1" s="3" t="str">
        <x:v>Forecast</x:v>
      </x:c>
      <x:c r="N1" s="3" t="str">
        <x:v>Forecast</x:v>
      </x:c>
      <x:c r="O1" s="3" t="str">
        <x:v>Forecast</x:v>
      </x:c>
      <x:c r="P1" s="3" t="str">
        <x:v>Forecast</x:v>
      </x:c>
      <x:c r="Q1" s="3" t="str">
        <x:v>Forecast</x:v>
      </x:c>
      <x:c r="R1" s="3" t="str">
        <x:v>Forecast</x:v>
      </x:c>
      <x:c r="S1" s="3" t="str">
        <x:v>Forecast</x:v>
      </x:c>
      <x:c r="T1" s="3" t="str">
        <x:v>Forecast</x:v>
      </x:c>
      <x:c r="U1" s="3" t="str">
        <x:v>Forecast</x:v>
      </x:c>
      <x:c r="V1" s="3" t="str">
        <x:v>Forecast</x:v>
      </x:c>
      <x:c r="W1" s="3" t="str">
        <x:v>Forecast</x:v>
      </x:c>
      <x:c r="X1" s="3" t="str">
        <x:v>Forecast</x:v>
      </x:c>
      <x:c r="Y1" s="3" t="str">
        <x:v>Forecast</x:v>
      </x:c>
    </x:row>
    <x:row r="2" ht="26" customHeight="1">
      <x:c r="A2" s="3" t="str">
        <x:v>Forecast</x:v>
      </x:c>
      <x:c r="B2" s="3" t="str">
        <x:v>Forecast</x:v>
      </x:c>
      <x:c r="C2" s="3" t="str">
        <x:v>Forecast</x:v>
      </x:c>
      <x:c r="D2" s="3" t="str">
        <x:v>Forecast</x:v>
      </x:c>
      <x:c r="E2" s="3" t="str">
        <x:v>Forecast</x:v>
      </x:c>
      <x:c r="F2" s="3" t="str">
        <x:v>Forecast</x:v>
      </x:c>
      <x:c r="G2" s="3" t="str">
        <x:v>Forecast</x:v>
      </x:c>
      <x:c r="H2" s="3" t="str">
        <x:v>Forecast</x:v>
      </x:c>
      <x:c r="I2" s="3" t="str">
        <x:v>Forecast</x:v>
      </x:c>
      <x:c r="J2" s="3" t="str">
        <x:v>Forecast</x:v>
      </x:c>
      <x:c r="K2" s="3" t="str">
        <x:v>Forecast</x:v>
      </x:c>
      <x:c r="L2" s="3" t="str">
        <x:v>Forecast</x:v>
      </x:c>
      <x:c r="M2" s="3" t="str">
        <x:v>Forecast</x:v>
      </x:c>
      <x:c r="N2" s="3" t="str">
        <x:v>Forecast</x:v>
      </x:c>
      <x:c r="O2" s="3" t="str">
        <x:v>Forecast</x:v>
      </x:c>
      <x:c r="P2" s="3" t="str">
        <x:v>Forecast</x:v>
      </x:c>
      <x:c r="Q2" s="3" t="str">
        <x:v>Forecast</x:v>
      </x:c>
      <x:c r="R2" s="3" t="str">
        <x:v>Forecast</x:v>
      </x:c>
      <x:c r="S2" s="3" t="str">
        <x:v>Forecast</x:v>
      </x:c>
      <x:c r="T2" s="3" t="str">
        <x:v>Forecast</x:v>
      </x:c>
      <x:c r="U2" s="3" t="str">
        <x:v>Forecast</x:v>
      </x:c>
      <x:c r="V2" s="3" t="str">
        <x:v>Forecast</x:v>
      </x:c>
      <x:c r="W2" s="3" t="str">
        <x:v>Forecast</x:v>
      </x:c>
      <x:c r="X2" s="3" t="str">
        <x:v>Forecast</x:v>
      </x:c>
      <x:c r="Y2" s="3" t="str">
        <x:v>Forecast</x:v>
      </x:c>
    </x:row>
    <x:row r="4">
      <x:c r="A4" s="12" t="str">
        <x:v>Line item</x:v>
      </x:c>
      <x:c r="B4" s="25" t="n">
        <x:v>46023</x:v>
      </x:c>
      <x:c r="C4" s="25" t="n">
        <x:v>46054</x:v>
      </x:c>
      <x:c r="D4" s="25" t="n">
        <x:v>46082</x:v>
      </x:c>
      <x:c r="E4" s="25" t="n">
        <x:v>46113</x:v>
      </x:c>
      <x:c r="F4" s="25" t="n">
        <x:v>46143</x:v>
      </x:c>
      <x:c r="G4" s="25" t="n">
        <x:v>46174</x:v>
      </x:c>
      <x:c r="H4" s="25" t="n">
        <x:v>46204</x:v>
      </x:c>
      <x:c r="I4" s="25" t="n">
        <x:v>46235</x:v>
      </x:c>
      <x:c r="J4" s="25" t="n">
        <x:v>46266</x:v>
      </x:c>
      <x:c r="K4" s="25" t="n">
        <x:v>46296</x:v>
      </x:c>
      <x:c r="L4" s="25" t="n">
        <x:v>46327</x:v>
      </x:c>
      <x:c r="M4" s="25" t="n">
        <x:v>46357</x:v>
      </x:c>
      <x:c r="N4" s="25" t="n">
        <x:v>46388</x:v>
      </x:c>
      <x:c r="O4" s="25" t="n">
        <x:v>46419</x:v>
      </x:c>
      <x:c r="P4" s="25" t="n">
        <x:v>46447</x:v>
      </x:c>
      <x:c r="Q4" s="25" t="n">
        <x:v>46478</x:v>
      </x:c>
      <x:c r="R4" s="25" t="n">
        <x:v>46508</x:v>
      </x:c>
      <x:c r="S4" s="25" t="n">
        <x:v>46539</x:v>
      </x:c>
      <x:c r="T4" s="25" t="n">
        <x:v>46569</x:v>
      </x:c>
      <x:c r="U4" s="25" t="n">
        <x:v>46600</x:v>
      </x:c>
      <x:c r="V4" s="25" t="n">
        <x:v>46631</x:v>
      </x:c>
      <x:c r="W4" s="25" t="n">
        <x:v>46661</x:v>
      </x:c>
      <x:c r="X4" s="25" t="n">
        <x:v>46692</x:v>
      </x:c>
      <x:c r="Y4" s="26" t="n">
        <x:v>46722</x:v>
      </x:c>
    </x:row>
    <x:row r="6">
      <x:c r="A6" t="str">
        <x:v>Self-serve revenue before churn</x:v>
      </x:c>
      <x:c r="B6" s="28" t="n">
        <x:f>'Assumptions'!$B$6</x:f>
        <x:v>200</x:v>
      </x:c>
      <x:c r="C6" s="28" t="n">
        <x:f>B6*(1+'Assumptions'!$B$7*IF('Assumptions'!$B$5="Upside",'Scenarios'!$B$6,IF('Assumptions'!$B$5="Downside",'Scenarios'!$B$7,'Scenarios'!$B$5)))</x:f>
        <x:v>216</x:v>
      </x:c>
      <x:c r="D6" s="28" t="n">
        <x:f>C6*(1+'Assumptions'!$B$7*IF('Assumptions'!$B$5="Upside",'Scenarios'!$B$6,IF('Assumptions'!$B$5="Downside",'Scenarios'!$B$7,'Scenarios'!$B$5)))</x:f>
        <x:v>233.28000000000003</x:v>
      </x:c>
      <x:c r="E6" s="28" t="n">
        <x:f>D6*(1+'Assumptions'!$B$7*IF('Assumptions'!$B$5="Upside",'Scenarios'!$B$6,IF('Assumptions'!$B$5="Downside",'Scenarios'!$B$7,'Scenarios'!$B$5)))</x:f>
        <x:v>251.94240000000005</x:v>
      </x:c>
      <x:c r="F6" s="28" t="n">
        <x:f>E6*(1+'Assumptions'!$B$7*IF('Assumptions'!$B$5="Upside",'Scenarios'!$B$6,IF('Assumptions'!$B$5="Downside",'Scenarios'!$B$7,'Scenarios'!$B$5)))</x:f>
        <x:v>272.0977920000001</x:v>
      </x:c>
      <x:c r="G6" s="28" t="n">
        <x:f>F6*(1+'Assumptions'!$B$7*IF('Assumptions'!$B$5="Upside",'Scenarios'!$B$6,IF('Assumptions'!$B$5="Downside",'Scenarios'!$B$7,'Scenarios'!$B$5)))</x:f>
        <x:v>293.8656153600001</x:v>
      </x:c>
      <x:c r="H6" s="28" t="n">
        <x:f>G6*(1+'Assumptions'!$B$7*IF('Assumptions'!$B$5="Upside",'Scenarios'!$B$6,IF('Assumptions'!$B$5="Downside",'Scenarios'!$B$7,'Scenarios'!$B$5)))</x:f>
        <x:v>317.3748645888001</x:v>
      </x:c>
      <x:c r="I6" s="28" t="n">
        <x:f>H6*(1+'Assumptions'!$B$7*IF('Assumptions'!$B$5="Upside",'Scenarios'!$B$6,IF('Assumptions'!$B$5="Downside",'Scenarios'!$B$7,'Scenarios'!$B$5)))</x:f>
        <x:v>342.76485375590414</x:v>
      </x:c>
      <x:c r="J6" s="28" t="n">
        <x:f>I6*(1+'Assumptions'!$B$7*IF('Assumptions'!$B$5="Upside",'Scenarios'!$B$6,IF('Assumptions'!$B$5="Downside",'Scenarios'!$B$7,'Scenarios'!$B$5)))</x:f>
        <x:v>370.1860420563765</x:v>
      </x:c>
      <x:c r="K6" s="28" t="n">
        <x:f>J6*(1+'Assumptions'!$B$7*IF('Assumptions'!$B$5="Upside",'Scenarios'!$B$6,IF('Assumptions'!$B$5="Downside",'Scenarios'!$B$7,'Scenarios'!$B$5)))</x:f>
        <x:v>399.80092542088664</x:v>
      </x:c>
      <x:c r="L6" s="28" t="n">
        <x:f>K6*(1+'Assumptions'!$B$7*IF('Assumptions'!$B$5="Upside",'Scenarios'!$B$6,IF('Assumptions'!$B$5="Downside",'Scenarios'!$B$7,'Scenarios'!$B$5)))</x:f>
        <x:v>431.7849994545576</x:v>
      </x:c>
      <x:c r="M6" s="28" t="n">
        <x:f>L6*(1+'Assumptions'!$B$7*IF('Assumptions'!$B$5="Upside",'Scenarios'!$B$6,IF('Assumptions'!$B$5="Downside",'Scenarios'!$B$7,'Scenarios'!$B$5)))</x:f>
        <x:v>466.32779941092224</x:v>
      </x:c>
      <x:c r="N6" s="28" t="n">
        <x:f>M6*(1+'Assumptions'!$B$7*IF('Assumptions'!$B$5="Upside",'Scenarios'!$B$6,IF('Assumptions'!$B$5="Downside",'Scenarios'!$B$7,'Scenarios'!$B$5)))</x:f>
        <x:v>503.6340233637961</x:v>
      </x:c>
      <x:c r="O6" s="28" t="n">
        <x:f>N6*(1+'Assumptions'!$B$7*IF('Assumptions'!$B$5="Upside",'Scenarios'!$B$6,IF('Assumptions'!$B$5="Downside",'Scenarios'!$B$7,'Scenarios'!$B$5)))</x:f>
        <x:v>543.9247452328998</x:v>
      </x:c>
      <x:c r="P6" s="28" t="n">
        <x:f>O6*(1+'Assumptions'!$B$7*IF('Assumptions'!$B$5="Upside",'Scenarios'!$B$6,IF('Assumptions'!$B$5="Downside",'Scenarios'!$B$7,'Scenarios'!$B$5)))</x:f>
        <x:v>587.4387248515318</x:v>
      </x:c>
      <x:c r="Q6" s="28" t="n">
        <x:f>P6*(1+'Assumptions'!$B$7*IF('Assumptions'!$B$5="Upside",'Scenarios'!$B$6,IF('Assumptions'!$B$5="Downside",'Scenarios'!$B$7,'Scenarios'!$B$5)))</x:f>
        <x:v>634.4338228396543</x:v>
      </x:c>
      <x:c r="R6" s="28" t="n">
        <x:f>Q6*(1+'Assumptions'!$B$7*IF('Assumptions'!$B$5="Upside",'Scenarios'!$B$6,IF('Assumptions'!$B$5="Downside",'Scenarios'!$B$7,'Scenarios'!$B$5)))</x:f>
        <x:v>685.1885286668268</x:v>
      </x:c>
      <x:c r="S6" s="28" t="n">
        <x:f>R6*(1+'Assumptions'!$B$7*IF('Assumptions'!$B$5="Upside",'Scenarios'!$B$6,IF('Assumptions'!$B$5="Downside",'Scenarios'!$B$7,'Scenarios'!$B$5)))</x:f>
        <x:v>740.003610960173</x:v>
      </x:c>
      <x:c r="T6" s="28" t="n">
        <x:f>S6*(1+'Assumptions'!$B$7*IF('Assumptions'!$B$5="Upside",'Scenarios'!$B$6,IF('Assumptions'!$B$5="Downside",'Scenarios'!$B$7,'Scenarios'!$B$5)))</x:f>
        <x:v>799.2038998369869</x:v>
      </x:c>
      <x:c r="U6" s="28" t="n">
        <x:f>T6*(1+'Assumptions'!$B$7*IF('Assumptions'!$B$5="Upside",'Scenarios'!$B$6,IF('Assumptions'!$B$5="Downside",'Scenarios'!$B$7,'Scenarios'!$B$5)))</x:f>
        <x:v>863.140211823946</x:v>
      </x:c>
      <x:c r="V6" s="28" t="n">
        <x:f>U6*(1+'Assumptions'!$B$7*IF('Assumptions'!$B$5="Upside",'Scenarios'!$B$6,IF('Assumptions'!$B$5="Downside",'Scenarios'!$B$7,'Scenarios'!$B$5)))</x:f>
        <x:v>932.1914287698617</x:v>
      </x:c>
      <x:c r="W6" s="28" t="n">
        <x:f>V6*(1+'Assumptions'!$B$7*IF('Assumptions'!$B$5="Upside",'Scenarios'!$B$6,IF('Assumptions'!$B$5="Downside",'Scenarios'!$B$7,'Scenarios'!$B$5)))</x:f>
        <x:v>1006.7667430714506</x:v>
      </x:c>
      <x:c r="X6" s="28" t="n">
        <x:f>W6*(1+'Assumptions'!$B$7*IF('Assumptions'!$B$5="Upside",'Scenarios'!$B$6,IF('Assumptions'!$B$5="Downside",'Scenarios'!$B$7,'Scenarios'!$B$5)))</x:f>
        <x:v>1087.3080825171667</x:v>
      </x:c>
      <x:c r="Y6" s="28" t="n">
        <x:f>X6*(1+'Assumptions'!$B$7*IF('Assumptions'!$B$5="Upside",'Scenarios'!$B$6,IF('Assumptions'!$B$5="Downside",'Scenarios'!$B$7,'Scenarios'!$B$5)))</x:f>
        <x:v>1174.2927291185401</x:v>
      </x:c>
    </x:row>
    <x:row r="7">
      <x:c r="A7" t="str">
        <x:v>Enterprise revenue before churn</x:v>
      </x:c>
      <x:c r="B7" s="28" t="n">
        <x:f>'Assumptions'!$B$8</x:f>
        <x:v>400</x:v>
      </x:c>
      <x:c r="C7" s="28" t="n">
        <x:f>B7*(1+'Assumptions'!$B$9*IF('Assumptions'!$B$5="Upside",'Scenarios'!$B$6,IF('Assumptions'!$B$5="Downside",'Scenarios'!$B$7,'Scenarios'!$B$5)))</x:f>
        <x:v>440.00000000000006</x:v>
      </x:c>
      <x:c r="D7" s="28" t="n">
        <x:f>C7*(1+'Assumptions'!$B$9*IF('Assumptions'!$B$5="Upside",'Scenarios'!$B$6,IF('Assumptions'!$B$5="Downside",'Scenarios'!$B$7,'Scenarios'!$B$5)))</x:f>
        <x:v>484.0000000000001</x:v>
      </x:c>
      <x:c r="E7" s="28" t="n">
        <x:f>D7*(1+'Assumptions'!$B$9*IF('Assumptions'!$B$5="Upside",'Scenarios'!$B$6,IF('Assumptions'!$B$5="Downside",'Scenarios'!$B$7,'Scenarios'!$B$5)))</x:f>
        <x:v>532.4000000000002</x:v>
      </x:c>
      <x:c r="F7" s="28" t="n">
        <x:f>E7*(1+'Assumptions'!$B$9*IF('Assumptions'!$B$5="Upside",'Scenarios'!$B$6,IF('Assumptions'!$B$5="Downside",'Scenarios'!$B$7,'Scenarios'!$B$5)))</x:f>
        <x:v>585.6400000000003</x:v>
      </x:c>
      <x:c r="G7" s="28" t="n">
        <x:f>F7*(1+'Assumptions'!$B$9*IF('Assumptions'!$B$5="Upside",'Scenarios'!$B$6,IF('Assumptions'!$B$5="Downside",'Scenarios'!$B$7,'Scenarios'!$B$5)))</x:f>
        <x:v>644.2040000000004</x:v>
      </x:c>
      <x:c r="H7" s="28" t="n">
        <x:f>G7*(1+'Assumptions'!$B$9*IF('Assumptions'!$B$5="Upside",'Scenarios'!$B$6,IF('Assumptions'!$B$5="Downside",'Scenarios'!$B$7,'Scenarios'!$B$5)))</x:f>
        <x:v>708.6244000000005</x:v>
      </x:c>
      <x:c r="I7" s="28" t="n">
        <x:f>H7*(1+'Assumptions'!$B$9*IF('Assumptions'!$B$5="Upside",'Scenarios'!$B$6,IF('Assumptions'!$B$5="Downside",'Scenarios'!$B$7,'Scenarios'!$B$5)))</x:f>
        <x:v>779.4868400000006</x:v>
      </x:c>
      <x:c r="J7" s="28" t="n">
        <x:f>I7*(1+'Assumptions'!$B$9*IF('Assumptions'!$B$5="Upside",'Scenarios'!$B$6,IF('Assumptions'!$B$5="Downside",'Scenarios'!$B$7,'Scenarios'!$B$5)))</x:f>
        <x:v>857.4355240000008</x:v>
      </x:c>
      <x:c r="K7" s="28" t="n">
        <x:f>J7*(1+'Assumptions'!$B$9*IF('Assumptions'!$B$5="Upside",'Scenarios'!$B$6,IF('Assumptions'!$B$5="Downside",'Scenarios'!$B$7,'Scenarios'!$B$5)))</x:f>
        <x:v>943.1790764000009</x:v>
      </x:c>
      <x:c r="L7" s="28" t="n">
        <x:f>K7*(1+'Assumptions'!$B$9*IF('Assumptions'!$B$5="Upside",'Scenarios'!$B$6,IF('Assumptions'!$B$5="Downside",'Scenarios'!$B$7,'Scenarios'!$B$5)))</x:f>
        <x:v>1037.496984040001</x:v>
      </x:c>
      <x:c r="M7" s="28" t="n">
        <x:f>L7*(1+'Assumptions'!$B$9*IF('Assumptions'!$B$5="Upside",'Scenarios'!$B$6,IF('Assumptions'!$B$5="Downside",'Scenarios'!$B$7,'Scenarios'!$B$5)))</x:f>
        <x:v>1141.2466824440012</x:v>
      </x:c>
      <x:c r="N7" s="28" t="n">
        <x:f>M7*(1+'Assumptions'!$B$9*IF('Assumptions'!$B$5="Upside",'Scenarios'!$B$6,IF('Assumptions'!$B$5="Downside",'Scenarios'!$B$7,'Scenarios'!$B$5)))</x:f>
        <x:v>1255.3713506884014</x:v>
      </x:c>
      <x:c r="O7" s="28" t="n">
        <x:f>N7*(1+'Assumptions'!$B$9*IF('Assumptions'!$B$5="Upside",'Scenarios'!$B$6,IF('Assumptions'!$B$5="Downside",'Scenarios'!$B$7,'Scenarios'!$B$5)))</x:f>
        <x:v>1380.9084857572416</x:v>
      </x:c>
      <x:c r="P7" s="28" t="n">
        <x:f>O7*(1+'Assumptions'!$B$9*IF('Assumptions'!$B$5="Upside",'Scenarios'!$B$6,IF('Assumptions'!$B$5="Downside",'Scenarios'!$B$7,'Scenarios'!$B$5)))</x:f>
        <x:v>1518.9993343329659</x:v>
      </x:c>
      <x:c r="Q7" s="28" t="n">
        <x:f>P7*(1+'Assumptions'!$B$9*IF('Assumptions'!$B$5="Upside",'Scenarios'!$B$6,IF('Assumptions'!$B$5="Downside",'Scenarios'!$B$7,'Scenarios'!$B$5)))</x:f>
        <x:v>1670.8992677662625</x:v>
      </x:c>
      <x:c r="R7" s="28" t="n">
        <x:f>Q7*(1+'Assumptions'!$B$9*IF('Assumptions'!$B$5="Upside",'Scenarios'!$B$6,IF('Assumptions'!$B$5="Downside",'Scenarios'!$B$7,'Scenarios'!$B$5)))</x:f>
        <x:v>1837.989194542889</x:v>
      </x:c>
      <x:c r="S7" s="28" t="n">
        <x:f>R7*(1+'Assumptions'!$B$9*IF('Assumptions'!$B$5="Upside",'Scenarios'!$B$6,IF('Assumptions'!$B$5="Downside",'Scenarios'!$B$7,'Scenarios'!$B$5)))</x:f>
        <x:v>2021.788113997178</x:v>
      </x:c>
      <x:c r="T7" s="28" t="n">
        <x:f>S7*(1+'Assumptions'!$B$9*IF('Assumptions'!$B$5="Upside",'Scenarios'!$B$6,IF('Assumptions'!$B$5="Downside",'Scenarios'!$B$7,'Scenarios'!$B$5)))</x:f>
        <x:v>2223.966925396896</x:v>
      </x:c>
      <x:c r="U7" s="28" t="n">
        <x:f>T7*(1+'Assumptions'!$B$9*IF('Assumptions'!$B$5="Upside",'Scenarios'!$B$6,IF('Assumptions'!$B$5="Downside",'Scenarios'!$B$7,'Scenarios'!$B$5)))</x:f>
        <x:v>2446.363617936586</x:v>
      </x:c>
      <x:c r="V7" s="28" t="n">
        <x:f>U7*(1+'Assumptions'!$B$9*IF('Assumptions'!$B$5="Upside",'Scenarios'!$B$6,IF('Assumptions'!$B$5="Downside",'Scenarios'!$B$7,'Scenarios'!$B$5)))</x:f>
        <x:v>2690.9999797302444</x:v>
      </x:c>
      <x:c r="W7" s="28" t="n">
        <x:f>V7*(1+'Assumptions'!$B$9*IF('Assumptions'!$B$5="Upside",'Scenarios'!$B$6,IF('Assumptions'!$B$5="Downside",'Scenarios'!$B$7,'Scenarios'!$B$5)))</x:f>
        <x:v>2960.099977703269</x:v>
      </x:c>
      <x:c r="X7" s="28" t="n">
        <x:f>W7*(1+'Assumptions'!$B$9*IF('Assumptions'!$B$5="Upside",'Scenarios'!$B$6,IF('Assumptions'!$B$5="Downside",'Scenarios'!$B$7,'Scenarios'!$B$5)))</x:f>
        <x:v>3256.109975473596</x:v>
      </x:c>
      <x:c r="Y7" s="28" t="n">
        <x:f>X7*(1+'Assumptions'!$B$9*IF('Assumptions'!$B$5="Upside",'Scenarios'!$B$6,IF('Assumptions'!$B$5="Downside",'Scenarios'!$B$7,'Scenarios'!$B$5)))</x:f>
        <x:v>3581.720973020956</x:v>
      </x:c>
    </x:row>
    <x:row r="8">
      <x:c r="A8" t="str">
        <x:v>Revenue churn</x:v>
      </x:c>
      <x:c r="B8" s="28" t="n">
        <x:f>-('Assumptions'!$B$6+'Assumptions'!$B$8)*'Assumptions'!$B$10*IF('Assumptions'!$B$5="Upside",'Scenarios'!$C$6,IF('Assumptions'!$B$5="Downside",'Scenarios'!$C$7,'Scenarios'!$C$5))</x:f>
        <x:v>-12</x:v>
      </x:c>
      <x:c r="C8" s="28" t="n">
        <x:f>-B9*'Assumptions'!$B$10*IF('Assumptions'!$B$5="Upside",'Scenarios'!$C$6,IF('Assumptions'!$B$5="Downside",'Scenarios'!$C$7,'Scenarios'!$C$5))</x:f>
        <x:v>-11.76</x:v>
      </x:c>
      <x:c r="D8" s="28" t="n">
        <x:f>-C9*'Assumptions'!$B$10*IF('Assumptions'!$B$5="Upside",'Scenarios'!$C$6,IF('Assumptions'!$B$5="Downside",'Scenarios'!$C$7,'Scenarios'!$C$5))</x:f>
        <x:v>-12.8848</x:v>
      </x:c>
      <x:c r="E8" s="28" t="n">
        <x:f>-D9*'Assumptions'!$B$10*IF('Assumptions'!$B$5="Upside",'Scenarios'!$C$6,IF('Assumptions'!$B$5="Downside",'Scenarios'!$C$7,'Scenarios'!$C$5))</x:f>
        <x:v>-14.087904000000004</x:v>
      </x:c>
      <x:c r="F8" s="28" t="n">
        <x:f>-E9*'Assumptions'!$B$10*IF('Assumptions'!$B$5="Upside",'Scenarios'!$C$6,IF('Assumptions'!$B$5="Downside",'Scenarios'!$C$7,'Scenarios'!$C$5))</x:f>
        <x:v>-15.405089920000005</x:v>
      </x:c>
      <x:c r="G8" s="28" t="n">
        <x:f>-F9*'Assumptions'!$B$10*IF('Assumptions'!$B$5="Upside",'Scenarios'!$C$6,IF('Assumptions'!$B$5="Downside",'Scenarios'!$C$7,'Scenarios'!$C$5))</x:f>
        <x:v>-16.846654041600008</x:v>
      </x:c>
      <x:c r="H8" s="28" t="n">
        <x:f>-G9*'Assumptions'!$B$10*IF('Assumptions'!$B$5="Upside",'Scenarios'!$C$6,IF('Assumptions'!$B$5="Downside",'Scenarios'!$C$7,'Scenarios'!$C$5))</x:f>
        <x:v>-18.42445922636801</x:v>
      </x:c>
      <x:c r="I8" s="28" t="n">
        <x:f>-H9*'Assumptions'!$B$10*IF('Assumptions'!$B$5="Upside",'Scenarios'!$C$6,IF('Assumptions'!$B$5="Downside",'Scenarios'!$C$7,'Scenarios'!$C$5))</x:f>
        <x:v>-20.15149610724865</x:v>
      </x:c>
      <x:c r="J8" s="28" t="n">
        <x:f>-I9*'Assumptions'!$B$10*IF('Assumptions'!$B$5="Upside",'Scenarios'!$C$6,IF('Assumptions'!$B$5="Downside",'Scenarios'!$C$7,'Scenarios'!$C$5))</x:f>
        <x:v>-22.042003952973122</x:v>
      </x:c>
      <x:c r="K8" s="28" t="n">
        <x:f>-J9*'Assumptions'!$B$10*IF('Assumptions'!$B$5="Upside",'Scenarios'!$C$6,IF('Assumptions'!$B$5="Downside",'Scenarios'!$C$7,'Scenarios'!$C$5))</x:f>
        <x:v>-24.111591242068084</x:v>
      </x:c>
      <x:c r="L8" s="28" t="n">
        <x:f>-K9*'Assumptions'!$B$10*IF('Assumptions'!$B$5="Upside",'Scenarios'!$C$6,IF('Assumptions'!$B$5="Downside",'Scenarios'!$C$7,'Scenarios'!$C$5))</x:f>
        <x:v>-26.377368211576393</x:v>
      </x:c>
      <x:c r="M8" s="28" t="n">
        <x:f>-L9*'Assumptions'!$B$10*IF('Assumptions'!$B$5="Upside",'Scenarios'!$C$6,IF('Assumptions'!$B$5="Downside",'Scenarios'!$C$7,'Scenarios'!$C$5))</x:f>
        <x:v>-28.858092305659643</x:v>
      </x:c>
      <x:c r="N8" s="28" t="n">
        <x:f>-M9*'Assumptions'!$B$10*IF('Assumptions'!$B$5="Upside",'Scenarios'!$C$6,IF('Assumptions'!$B$5="Downside",'Scenarios'!$C$7,'Scenarios'!$C$5))</x:f>
        <x:v>-31.574327790985272</x:v>
      </x:c>
      <x:c r="O8" s="28" t="n">
        <x:f>-N9*'Assumptions'!$B$10*IF('Assumptions'!$B$5="Upside",'Scenarios'!$C$6,IF('Assumptions'!$B$5="Downside",'Scenarios'!$C$7,'Scenarios'!$C$5))</x:f>
        <x:v>-34.54862092522425</x:v>
      </x:c>
      <x:c r="P8" s="28" t="n">
        <x:f>-O9*'Assumptions'!$B$10*IF('Assumptions'!$B$5="Upside",'Scenarios'!$C$6,IF('Assumptions'!$B$5="Downside",'Scenarios'!$C$7,'Scenarios'!$C$5))</x:f>
        <x:v>-37.80569220129834</x:v>
      </x:c>
      <x:c r="Q8" s="28" t="n">
        <x:f>-P9*'Assumptions'!$B$10*IF('Assumptions'!$B$5="Upside",'Scenarios'!$C$6,IF('Assumptions'!$B$5="Downside",'Scenarios'!$C$7,'Scenarios'!$C$5))</x:f>
        <x:v>-41.372647339663985</x:v>
      </x:c>
      <x:c r="R8" s="28" t="n">
        <x:f>-Q9*'Assumptions'!$B$10*IF('Assumptions'!$B$5="Upside",'Scenarios'!$C$6,IF('Assumptions'!$B$5="Downside",'Scenarios'!$C$7,'Scenarios'!$C$5))</x:f>
        <x:v>-45.27920886532505</x:v>
      </x:c>
      <x:c r="S8" s="28" t="n">
        <x:f>-R9*'Assumptions'!$B$10*IF('Assumptions'!$B$5="Upside",'Scenarios'!$C$6,IF('Assumptions'!$B$5="Downside",'Scenarios'!$C$7,'Scenarios'!$C$5))</x:f>
        <x:v>-49.557970286887816</x:v>
      </x:c>
      <x:c r="T8" s="28" t="n">
        <x:f>-S9*'Assumptions'!$B$10*IF('Assumptions'!$B$5="Upside",'Scenarios'!$C$6,IF('Assumptions'!$B$5="Downside",'Scenarios'!$C$7,'Scenarios'!$C$5))</x:f>
        <x:v>-54.24467509340927</x:v>
      </x:c>
      <x:c r="U8" s="28" t="n">
        <x:f>-T9*'Assumptions'!$B$10*IF('Assumptions'!$B$5="Upside",'Scenarios'!$C$6,IF('Assumptions'!$B$5="Downside",'Scenarios'!$C$7,'Scenarios'!$C$5))</x:f>
        <x:v>-59.37852300280948</x:v>
      </x:c>
      <x:c r="V8" s="28" t="n">
        <x:f>-U9*'Assumptions'!$B$10*IF('Assumptions'!$B$5="Upside",'Scenarios'!$C$6,IF('Assumptions'!$B$5="Downside",'Scenarios'!$C$7,'Scenarios'!$C$5))</x:f>
        <x:v>-65.00250613515445</x:v>
      </x:c>
      <x:c r="W8" s="28" t="n">
        <x:f>-V9*'Assumptions'!$B$10*IF('Assumptions'!$B$5="Upside",'Scenarios'!$C$6,IF('Assumptions'!$B$5="Downside",'Scenarios'!$C$7,'Scenarios'!$C$5))</x:f>
        <x:v>-71.16377804729903</x:v>
      </x:c>
      <x:c r="X8" s="28" t="n">
        <x:f>-W9*'Assumptions'!$B$10*IF('Assumptions'!$B$5="Upside",'Scenarios'!$C$6,IF('Assumptions'!$B$5="Downside",'Scenarios'!$C$7,'Scenarios'!$C$5))</x:f>
        <x:v>-77.91405885454841</x:v>
      </x:c>
      <x:c r="Y8" s="28" t="n">
        <x:f>-X9*'Assumptions'!$B$10*IF('Assumptions'!$B$5="Upside",'Scenarios'!$C$6,IF('Assumptions'!$B$5="Downside",'Scenarios'!$C$7,'Scenarios'!$C$5))</x:f>
        <x:v>-85.31007998272428</x:v>
      </x:c>
    </x:row>
    <x:row r="9">
      <x:c r="A9" s="32" t="str">
        <x:v>Total revenue</x:v>
      </x:c>
      <x:c r="B9" s="33" t="n">
        <x:f>SUM(B6:B8)</x:f>
        <x:v>588</x:v>
      </x:c>
      <x:c r="C9" s="33" t="n">
        <x:f>SUM(C6:C8)</x:f>
        <x:v>644.24</x:v>
      </x:c>
      <x:c r="D9" s="33" t="n">
        <x:f>SUM(D6:D8)</x:f>
        <x:v>704.3952000000002</x:v>
      </x:c>
      <x:c r="E9" s="33" t="n">
        <x:f>SUM(E6:E8)</x:f>
        <x:v>770.2544960000002</x:v>
      </x:c>
      <x:c r="F9" s="33" t="n">
        <x:f>SUM(F6:F8)</x:f>
        <x:v>842.3327020800003</x:v>
      </x:c>
      <x:c r="G9" s="33" t="n">
        <x:f>SUM(G6:G8)</x:f>
        <x:v>921.2229613184005</x:v>
      </x:c>
      <x:c r="H9" s="33" t="n">
        <x:f>SUM(H6:H8)</x:f>
        <x:v>1007.5748053624326</x:v>
      </x:c>
      <x:c r="I9" s="33" t="n">
        <x:f>SUM(I6:I8)</x:f>
        <x:v>1102.1001976486561</x:v>
      </x:c>
      <x:c r="J9" s="33" t="n">
        <x:f>SUM(J6:J8)</x:f>
        <x:v>1205.5795621034042</x:v>
      </x:c>
      <x:c r="K9" s="33" t="n">
        <x:f>SUM(K6:K8)</x:f>
        <x:v>1318.8684105788195</x:v>
      </x:c>
      <x:c r="L9" s="33" t="n">
        <x:f>SUM(L6:L8)</x:f>
        <x:v>1442.9046152829821</x:v>
      </x:c>
      <x:c r="M9" s="33" t="n">
        <x:f>SUM(M6:M8)</x:f>
        <x:v>1578.7163895492636</x:v>
      </x:c>
      <x:c r="N9" s="33" t="n">
        <x:f>SUM(N6:N8)</x:f>
        <x:v>1727.4310462612123</x:v>
      </x:c>
      <x:c r="O9" s="33" t="n">
        <x:f>SUM(O6:O8)</x:f>
        <x:v>1890.2846100649172</x:v>
      </x:c>
      <x:c r="P9" s="33" t="n">
        <x:f>SUM(P6:P8)</x:f>
        <x:v>2068.632366983199</x:v>
      </x:c>
      <x:c r="Q9" s="33" t="n">
        <x:f>SUM(Q6:Q8)</x:f>
        <x:v>2263.9604432662527</x:v>
      </x:c>
      <x:c r="R9" s="33" t="n">
        <x:f>SUM(R6:R8)</x:f>
        <x:v>2477.8985143443906</x:v>
      </x:c>
      <x:c r="S9" s="33" t="n">
        <x:f>SUM(S6:S8)</x:f>
        <x:v>2712.2337546704634</x:v>
      </x:c>
      <x:c r="T9" s="33" t="n">
        <x:f>SUM(T6:T8)</x:f>
        <x:v>2968.926150140474</x:v>
      </x:c>
      <x:c r="U9" s="33" t="n">
        <x:f>SUM(U6:U8)</x:f>
        <x:v>3250.1253067577222</x:v>
      </x:c>
      <x:c r="V9" s="33" t="n">
        <x:f>SUM(V6:V8)</x:f>
        <x:v>3558.188902364952</x:v>
      </x:c>
      <x:c r="W9" s="33" t="n">
        <x:f>SUM(W6:W8)</x:f>
        <x:v>3895.7029427274206</x:v>
      </x:c>
      <x:c r="X9" s="33" t="n">
        <x:f>SUM(X6:X8)</x:f>
        <x:v>4265.503999136214</x:v>
      </x:c>
      <x:c r="Y9" s="33" t="n">
        <x:f>SUM(Y6:Y8)</x:f>
        <x:v>4670.703622156772</x:v>
      </x:c>
    </x:row>
    <x:row r="10">
      <x:c r="A10" t="str">
        <x:v>COGS</x:v>
      </x:c>
      <x:c r="B10" s="28" t="n">
        <x:f>-B9*'Assumptions'!$B$11*IF('Assumptions'!$B$5="Upside",'Scenarios'!$D$6,IF('Assumptions'!$B$5="Downside",'Scenarios'!$D$7,'Scenarios'!$D$5))</x:f>
        <x:v>-164.64000000000001</x:v>
      </x:c>
      <x:c r="C10" s="28" t="n">
        <x:f>-C9*'Assumptions'!$B$11*IF('Assumptions'!$B$5="Upside",'Scenarios'!$D$6,IF('Assumptions'!$B$5="Downside",'Scenarios'!$D$7,'Scenarios'!$D$5))</x:f>
        <x:v>-180.3872</x:v>
      </x:c>
      <x:c r="D10" s="28" t="n">
        <x:f>-D9*'Assumptions'!$B$11*IF('Assumptions'!$B$5="Upside",'Scenarios'!$D$6,IF('Assumptions'!$B$5="Downside",'Scenarios'!$D$7,'Scenarios'!$D$5))</x:f>
        <x:v>-197.23065600000007</x:v>
      </x:c>
      <x:c r="E10" s="28" t="n">
        <x:f>-E9*'Assumptions'!$B$11*IF('Assumptions'!$B$5="Upside",'Scenarios'!$D$6,IF('Assumptions'!$B$5="Downside",'Scenarios'!$D$7,'Scenarios'!$D$5))</x:f>
        <x:v>-215.6712588800001</x:v>
      </x:c>
      <x:c r="F10" s="28" t="n">
        <x:f>-F9*'Assumptions'!$B$11*IF('Assumptions'!$B$5="Upside",'Scenarios'!$D$6,IF('Assumptions'!$B$5="Downside",'Scenarios'!$D$7,'Scenarios'!$D$5))</x:f>
        <x:v>-235.85315658240012</x:v>
      </x:c>
      <x:c r="G10" s="28" t="n">
        <x:f>-G9*'Assumptions'!$B$11*IF('Assumptions'!$B$5="Upside",'Scenarios'!$D$6,IF('Assumptions'!$B$5="Downside",'Scenarios'!$D$7,'Scenarios'!$D$5))</x:f>
        <x:v>-257.94242916915215</x:v>
      </x:c>
      <x:c r="H10" s="28" t="n">
        <x:f>-H9*'Assumptions'!$B$11*IF('Assumptions'!$B$5="Upside",'Scenarios'!$D$6,IF('Assumptions'!$B$5="Downside",'Scenarios'!$D$7,'Scenarios'!$D$5))</x:f>
        <x:v>-282.1209455014812</x:v>
      </x:c>
      <x:c r="I10" s="28" t="n">
        <x:f>-I9*'Assumptions'!$B$11*IF('Assumptions'!$B$5="Upside",'Scenarios'!$D$6,IF('Assumptions'!$B$5="Downside",'Scenarios'!$D$7,'Scenarios'!$D$5))</x:f>
        <x:v>-308.5880553416238</x:v>
      </x:c>
      <x:c r="J10" s="28" t="n">
        <x:f>-J9*'Assumptions'!$B$11*IF('Assumptions'!$B$5="Upside",'Scenarios'!$D$6,IF('Assumptions'!$B$5="Downside",'Scenarios'!$D$7,'Scenarios'!$D$5))</x:f>
        <x:v>-337.5622773889532</x:v>
      </x:c>
      <x:c r="K10" s="28" t="n">
        <x:f>-K9*'Assumptions'!$B$11*IF('Assumptions'!$B$5="Upside",'Scenarios'!$D$6,IF('Assumptions'!$B$5="Downside",'Scenarios'!$D$7,'Scenarios'!$D$5))</x:f>
        <x:v>-369.2831549620695</x:v>
      </x:c>
      <x:c r="L10" s="28" t="n">
        <x:f>-L9*'Assumptions'!$B$11*IF('Assumptions'!$B$5="Upside",'Scenarios'!$D$6,IF('Assumptions'!$B$5="Downside",'Scenarios'!$D$7,'Scenarios'!$D$5))</x:f>
        <x:v>-404.01329227923503</x:v>
      </x:c>
      <x:c r="M10" s="28" t="n">
        <x:f>-M9*'Assumptions'!$B$11*IF('Assumptions'!$B$5="Upside",'Scenarios'!$D$6,IF('Assumptions'!$B$5="Downside",'Scenarios'!$D$7,'Scenarios'!$D$5))</x:f>
        <x:v>-442.04058907379385</x:v>
      </x:c>
      <x:c r="N10" s="28" t="n">
        <x:f>-N9*'Assumptions'!$B$11*IF('Assumptions'!$B$5="Upside",'Scenarios'!$D$6,IF('Assumptions'!$B$5="Downside",'Scenarios'!$D$7,'Scenarios'!$D$5))</x:f>
        <x:v>-483.6806929531395</x:v>
      </x:c>
      <x:c r="O10" s="28" t="n">
        <x:f>-O9*'Assumptions'!$B$11*IF('Assumptions'!$B$5="Upside",'Scenarios'!$D$6,IF('Assumptions'!$B$5="Downside",'Scenarios'!$D$7,'Scenarios'!$D$5))</x:f>
        <x:v>-529.2796908181768</x:v>
      </x:c>
      <x:c r="P10" s="28" t="n">
        <x:f>-P9*'Assumptions'!$B$11*IF('Assumptions'!$B$5="Upside",'Scenarios'!$D$6,IF('Assumptions'!$B$5="Downside",'Scenarios'!$D$7,'Scenarios'!$D$5))</x:f>
        <x:v>-579.2170627552958</x:v>
      </x:c>
      <x:c r="Q10" s="28" t="n">
        <x:f>-Q9*'Assumptions'!$B$11*IF('Assumptions'!$B$5="Upside",'Scenarios'!$D$6,IF('Assumptions'!$B$5="Downside",'Scenarios'!$D$7,'Scenarios'!$D$5))</x:f>
        <x:v>-633.9089241145508</x:v>
      </x:c>
      <x:c r="R10" s="28" t="n">
        <x:f>-R9*'Assumptions'!$B$11*IF('Assumptions'!$B$5="Upside",'Scenarios'!$D$6,IF('Assumptions'!$B$5="Downside",'Scenarios'!$D$7,'Scenarios'!$D$5))</x:f>
        <x:v>-693.8115840164295</x:v>
      </x:c>
      <x:c r="S10" s="28" t="n">
        <x:f>-S9*'Assumptions'!$B$11*IF('Assumptions'!$B$5="Upside",'Scenarios'!$D$6,IF('Assumptions'!$B$5="Downside",'Scenarios'!$D$7,'Scenarios'!$D$5))</x:f>
        <x:v>-759.4254513077299</x:v>
      </x:c>
      <x:c r="T10" s="28" t="n">
        <x:f>-T9*'Assumptions'!$B$11*IF('Assumptions'!$B$5="Upside",'Scenarios'!$D$6,IF('Assumptions'!$B$5="Downside",'Scenarios'!$D$7,'Scenarios'!$D$5))</x:f>
        <x:v>-831.2993220393328</x:v>
      </x:c>
      <x:c r="U10" s="28" t="n">
        <x:f>-U9*'Assumptions'!$B$11*IF('Assumptions'!$B$5="Upside",'Scenarios'!$D$6,IF('Assumptions'!$B$5="Downside",'Scenarios'!$D$7,'Scenarios'!$D$5))</x:f>
        <x:v>-910.0350858921623</x:v>
      </x:c>
      <x:c r="V10" s="28" t="n">
        <x:f>-V9*'Assumptions'!$B$11*IF('Assumptions'!$B$5="Upside",'Scenarios'!$D$6,IF('Assumptions'!$B$5="Downside",'Scenarios'!$D$7,'Scenarios'!$D$5))</x:f>
        <x:v>-996.2928926621867</x:v>
      </x:c>
      <x:c r="W10" s="28" t="n">
        <x:f>-W9*'Assumptions'!$B$11*IF('Assumptions'!$B$5="Upside",'Scenarios'!$D$6,IF('Assumptions'!$B$5="Downside",'Scenarios'!$D$7,'Scenarios'!$D$5))</x:f>
        <x:v>-1090.7968239636778</x:v>
      </x:c>
      <x:c r="X10" s="28" t="n">
        <x:f>-X9*'Assumptions'!$B$11*IF('Assumptions'!$B$5="Upside",'Scenarios'!$D$6,IF('Assumptions'!$B$5="Downside",'Scenarios'!$D$7,'Scenarios'!$D$5))</x:f>
        <x:v>-1194.34111975814</x:v>
      </x:c>
      <x:c r="Y10" s="28" t="n">
        <x:f>-Y9*'Assumptions'!$B$11*IF('Assumptions'!$B$5="Upside",'Scenarios'!$D$6,IF('Assumptions'!$B$5="Downside",'Scenarios'!$D$7,'Scenarios'!$D$5))</x:f>
        <x:v>-1307.7970142038964</x:v>
      </x:c>
    </x:row>
    <x:row r="11">
      <x:c r="A11" s="32" t="str">
        <x:v>Gross profit</x:v>
      </x:c>
      <x:c r="B11" s="33" t="n">
        <x:f>SUM(B9:B10)</x:f>
        <x:v>423.36</x:v>
      </x:c>
      <x:c r="C11" s="33" t="n">
        <x:f>SUM(C9:C10)</x:f>
        <x:v>463.8528</x:v>
      </x:c>
      <x:c r="D11" s="33" t="n">
        <x:f>SUM(D9:D10)</x:f>
        <x:v>507.1645440000001</x:v>
      </x:c>
      <x:c r="E11" s="33" t="n">
        <x:f>SUM(E9:E10)</x:f>
        <x:v>554.5832371200001</x:v>
      </x:c>
      <x:c r="F11" s="33" t="n">
        <x:f>SUM(F9:F10)</x:f>
        <x:v>606.4795454976002</x:v>
      </x:c>
      <x:c r="G11" s="33" t="n">
        <x:f>SUM(G9:G10)</x:f>
        <x:v>663.2805321492483</x:v>
      </x:c>
      <x:c r="H11" s="33" t="n">
        <x:f>SUM(H9:H10)</x:f>
        <x:v>725.4538598609514</x:v>
      </x:c>
      <x:c r="I11" s="33" t="n">
        <x:f>SUM(I9:I10)</x:f>
        <x:v>793.5121423070324</x:v>
      </x:c>
      <x:c r="J11" s="33" t="n">
        <x:f>SUM(J9:J10)</x:f>
        <x:v>868.0172847144511</x:v>
      </x:c>
      <x:c r="K11" s="33" t="n">
        <x:f>SUM(K9:K10)</x:f>
        <x:v>949.58525561675</x:v>
      </x:c>
      <x:c r="L11" s="33" t="n">
        <x:f>SUM(L9:L10)</x:f>
        <x:v>1038.8913230037472</x:v>
      </x:c>
      <x:c r="M11" s="33" t="n">
        <x:f>SUM(M9:M10)</x:f>
        <x:v>1136.6758004754697</x:v>
      </x:c>
      <x:c r="N11" s="33" t="n">
        <x:f>SUM(N9:N10)</x:f>
        <x:v>1243.7503533080728</x:v>
      </x:c>
      <x:c r="O11" s="33" t="n">
        <x:f>SUM(O9:O10)</x:f>
        <x:v>1361.0049192467404</x:v>
      </x:c>
      <x:c r="P11" s="33" t="n">
        <x:f>SUM(P9:P10)</x:f>
        <x:v>1489.415304227903</x:v>
      </x:c>
      <x:c r="Q11" s="33" t="n">
        <x:f>SUM(Q9:Q10)</x:f>
        <x:v>1630.051519151702</x:v>
      </x:c>
      <x:c r="R11" s="33" t="n">
        <x:f>SUM(R9:R10)</x:f>
        <x:v>1784.086930327961</x:v>
      </x:c>
      <x:c r="S11" s="33" t="n">
        <x:f>SUM(S9:S10)</x:f>
        <x:v>1952.8083033627336</x:v>
      </x:c>
      <x:c r="T11" s="33" t="n">
        <x:f>SUM(T9:T10)</x:f>
        <x:v>2137.626828101141</x:v>
      </x:c>
      <x:c r="U11" s="33" t="n">
        <x:f>SUM(U9:U10)</x:f>
        <x:v>2340.09022086556</x:v>
      </x:c>
      <x:c r="V11" s="33" t="n">
        <x:f>SUM(V9:V10)</x:f>
        <x:v>2561.8960097027652</x:v>
      </x:c>
      <x:c r="W11" s="33" t="n">
        <x:f>SUM(W9:W10)</x:f>
        <x:v>2804.9061187637426</x:v>
      </x:c>
      <x:c r="X11" s="33" t="n">
        <x:f>SUM(X9:X10)</x:f>
        <x:v>3071.1628793780737</x:v>
      </x:c>
      <x:c r="Y11" s="33" t="n">
        <x:f>SUM(Y9:Y10)</x:f>
        <x:v>3362.9066079528757</x:v>
      </x:c>
    </x:row>
    <x:row r="12">
      <x:c r="A12" t="str">
        <x:v>Gross margin</x:v>
      </x:c>
      <x:c r="B12" s="29" t="n">
        <x:f>IF(B9=0,0,B11/B9)</x:f>
        <x:v>0.72</x:v>
      </x:c>
      <x:c r="C12" s="29" t="n">
        <x:f>IF(C9=0,0,C11/C9)</x:f>
        <x:v>0.72</x:v>
      </x:c>
      <x:c r="D12" s="29" t="n">
        <x:f>IF(D9=0,0,D11/D9)</x:f>
        <x:v>0.72</x:v>
      </x:c>
      <x:c r="E12" s="29" t="n">
        <x:f>IF(E9=0,0,E11/E9)</x:f>
        <x:v>0.72</x:v>
      </x:c>
      <x:c r="F12" s="29" t="n">
        <x:f>IF(F9=0,0,F11/F9)</x:f>
        <x:v>0.7199999999999999</x:v>
      </x:c>
      <x:c r="G12" s="29" t="n">
        <x:f>IF(G9=0,0,G11/G9)</x:f>
        <x:v>0.72</x:v>
      </x:c>
      <x:c r="H12" s="29" t="n">
        <x:f>IF(H9=0,0,H11/H9)</x:f>
        <x:v>0.72</x:v>
      </x:c>
      <x:c r="I12" s="29" t="n">
        <x:f>IF(I9=0,0,I11/I9)</x:f>
        <x:v>0.72</x:v>
      </x:c>
      <x:c r="J12" s="29" t="n">
        <x:f>IF(J9=0,0,J11/J9)</x:f>
        <x:v>0.7200000000000001</x:v>
      </x:c>
      <x:c r="K12" s="29" t="n">
        <x:f>IF(K9=0,0,K11/K9)</x:f>
        <x:v>0.72</x:v>
      </x:c>
      <x:c r="L12" s="29" t="n">
        <x:f>IF(L9=0,0,L11/L9)</x:f>
        <x:v>0.72</x:v>
      </x:c>
      <x:c r="M12" s="29" t="n">
        <x:f>IF(M9=0,0,M11/M9)</x:f>
        <x:v>0.72</x:v>
      </x:c>
      <x:c r="N12" s="29" t="n">
        <x:f>IF(N9=0,0,N11/N9)</x:f>
        <x:v>0.72</x:v>
      </x:c>
      <x:c r="O12" s="29" t="n">
        <x:f>IF(O9=0,0,O11/O9)</x:f>
        <x:v>0.7200000000000001</x:v>
      </x:c>
      <x:c r="P12" s="29" t="n">
        <x:f>IF(P9=0,0,P11/P9)</x:f>
        <x:v>0.7199999999999999</x:v>
      </x:c>
      <x:c r="Q12" s="29" t="n">
        <x:f>IF(Q9=0,0,Q11/Q9)</x:f>
        <x:v>0.72</x:v>
      </x:c>
      <x:c r="R12" s="29" t="n">
        <x:f>IF(R9=0,0,R11/R9)</x:f>
        <x:v>0.7199999999999999</x:v>
      </x:c>
      <x:c r="S12" s="29" t="n">
        <x:f>IF(S9=0,0,S11/S9)</x:f>
        <x:v>0.72</x:v>
      </x:c>
      <x:c r="T12" s="29" t="n">
        <x:f>IF(T9=0,0,T11/T9)</x:f>
        <x:v>0.72</x:v>
      </x:c>
      <x:c r="U12" s="29" t="n">
        <x:f>IF(U9=0,0,U11/U9)</x:f>
        <x:v>0.72</x:v>
      </x:c>
      <x:c r="V12" s="29" t="n">
        <x:f>IF(V9=0,0,V11/V9)</x:f>
        <x:v>0.72</x:v>
      </x:c>
      <x:c r="W12" s="29" t="n">
        <x:f>IF(W9=0,0,W11/W9)</x:f>
        <x:v>0.72</x:v>
      </x:c>
      <x:c r="X12" s="29" t="n">
        <x:f>IF(X9=0,0,X11/X9)</x:f>
        <x:v>0.72</x:v>
      </x:c>
      <x:c r="Y12" s="29" t="n">
        <x:f>IF(Y9=0,0,Y11/Y9)</x:f>
        <x:v>0.7199999999999999</x:v>
      </x:c>
    </x:row>
    <x:row r="13">
      <x:c r="A13" t="str">
        <x:v>Payroll</x:v>
      </x:c>
      <x:c r="B13" s="28" t="n">
        <x:f>-'Assumptions'!$B$12*IF('Assumptions'!$B$5="Upside",'Scenarios'!$E$6,IF('Assumptions'!$B$5="Downside",'Scenarios'!$E$7,'Scenarios'!$E$5))</x:f>
        <x:v>-390</x:v>
      </x:c>
      <x:c r="C13" s="28" t="n">
        <x:f>B13*(1+'Assumptions'!$B$13)</x:f>
        <x:v>-401.7</x:v>
      </x:c>
      <x:c r="D13" s="28" t="n">
        <x:f>C13*(1+'Assumptions'!$B$13)</x:f>
        <x:v>-413.751</x:v>
      </x:c>
      <x:c r="E13" s="28" t="n">
        <x:f>D13*(1+'Assumptions'!$B$13)</x:f>
        <x:v>-426.16353</x:v>
      </x:c>
      <x:c r="F13" s="28" t="n">
        <x:f>E13*(1+'Assumptions'!$B$13)</x:f>
        <x:v>-438.9484359</x:v>
      </x:c>
      <x:c r="G13" s="28" t="n">
        <x:f>F13*(1+'Assumptions'!$B$13)</x:f>
        <x:v>-452.11688897700003</x:v>
      </x:c>
      <x:c r="H13" s="28" t="n">
        <x:f>G13*(1+'Assumptions'!$B$13)</x:f>
        <x:v>-465.68039564631005</x:v>
      </x:c>
      <x:c r="I13" s="28" t="n">
        <x:f>H13*(1+'Assumptions'!$B$13)</x:f>
        <x:v>-479.65080751569934</x:v>
      </x:c>
      <x:c r="J13" s="28" t="n">
        <x:f>I13*(1+'Assumptions'!$B$13)</x:f>
        <x:v>-494.04033174117035</x:v>
      </x:c>
      <x:c r="K13" s="28" t="n">
        <x:f>J13*(1+'Assumptions'!$B$13)</x:f>
        <x:v>-508.86154169340546</x:v>
      </x:c>
      <x:c r="L13" s="28" t="n">
        <x:f>K13*(1+'Assumptions'!$B$13)</x:f>
        <x:v>-524.1273879442076</x:v>
      </x:c>
      <x:c r="M13" s="28" t="n">
        <x:f>L13*(1+'Assumptions'!$B$13)</x:f>
        <x:v>-539.8512095825339</x:v>
      </x:c>
      <x:c r="N13" s="28" t="n">
        <x:f>M13*(1+'Assumptions'!$B$13)</x:f>
        <x:v>-556.0467458700099</x:v>
      </x:c>
      <x:c r="O13" s="28" t="n">
        <x:f>N13*(1+'Assumptions'!$B$13)</x:f>
        <x:v>-572.7281482461102</x:v>
      </x:c>
      <x:c r="P13" s="28" t="n">
        <x:f>O13*(1+'Assumptions'!$B$13)</x:f>
        <x:v>-589.9099926934936</x:v>
      </x:c>
      <x:c r="Q13" s="28" t="n">
        <x:f>P13*(1+'Assumptions'!$B$13)</x:f>
        <x:v>-607.6072924742983</x:v>
      </x:c>
      <x:c r="R13" s="28" t="n">
        <x:f>Q13*(1+'Assumptions'!$B$13)</x:f>
        <x:v>-625.8355112485273</x:v>
      </x:c>
      <x:c r="S13" s="28" t="n">
        <x:f>R13*(1+'Assumptions'!$B$13)</x:f>
        <x:v>-644.6105765859832</x:v>
      </x:c>
      <x:c r="T13" s="28" t="n">
        <x:f>S13*(1+'Assumptions'!$B$13)</x:f>
        <x:v>-663.9488938835626</x:v>
      </x:c>
      <x:c r="U13" s="28" t="n">
        <x:f>T13*(1+'Assumptions'!$B$13)</x:f>
        <x:v>-683.8673607000695</x:v>
      </x:c>
      <x:c r="V13" s="28" t="n">
        <x:f>U13*(1+'Assumptions'!$B$13)</x:f>
        <x:v>-704.3833815210717</x:v>
      </x:c>
      <x:c r="W13" s="28" t="n">
        <x:f>V13*(1+'Assumptions'!$B$13)</x:f>
        <x:v>-725.5148829667038</x:v>
      </x:c>
      <x:c r="X13" s="28" t="n">
        <x:f>W13*(1+'Assumptions'!$B$13)</x:f>
        <x:v>-747.2803294557049</x:v>
      </x:c>
      <x:c r="Y13" s="28" t="n">
        <x:f>X13*(1+'Assumptions'!$B$13)</x:f>
        <x:v>-769.6987393393761</x:v>
      </x:c>
    </x:row>
    <x:row r="14">
      <x:c r="A14" t="str">
        <x:v>Non-payroll opex</x:v>
      </x:c>
      <x:c r="B14" s="28" t="n">
        <x:f>-'Assumptions'!$B$14*IF('Assumptions'!$B$5="Upside",'Scenarios'!$F$6,IF('Assumptions'!$B$5="Downside",'Scenarios'!$F$7,'Scenarios'!$F$5))</x:f>
        <x:v>-260</x:v>
      </x:c>
      <x:c r="C14" s="28" t="n">
        <x:f>B14*(1+'Assumptions'!$B$15)</x:f>
        <x:v>-262.6</x:v>
      </x:c>
      <x:c r="D14" s="28" t="n">
        <x:f>C14*(1+'Assumptions'!$B$15)</x:f>
        <x:v>-265.226</x:v>
      </x:c>
      <x:c r="E14" s="28" t="n">
        <x:f>D14*(1+'Assumptions'!$B$15)</x:f>
        <x:v>-267.87826</x:v>
      </x:c>
      <x:c r="F14" s="28" t="n">
        <x:f>E14*(1+'Assumptions'!$B$15)</x:f>
        <x:v>-270.5570426</x:v>
      </x:c>
      <x:c r="G14" s="28" t="n">
        <x:f>F14*(1+'Assumptions'!$B$15)</x:f>
        <x:v>-273.262613026</x:v>
      </x:c>
      <x:c r="H14" s="28" t="n">
        <x:f>G14*(1+'Assumptions'!$B$15)</x:f>
        <x:v>-275.99523915626</x:v>
      </x:c>
      <x:c r="I14" s="28" t="n">
        <x:f>H14*(1+'Assumptions'!$B$15)</x:f>
        <x:v>-278.7551915478226</x:v>
      </x:c>
      <x:c r="J14" s="28" t="n">
        <x:f>I14*(1+'Assumptions'!$B$15)</x:f>
        <x:v>-281.54274346330084</x:v>
      </x:c>
      <x:c r="K14" s="28" t="n">
        <x:f>J14*(1+'Assumptions'!$B$15)</x:f>
        <x:v>-284.35817089793386</x:v>
      </x:c>
      <x:c r="L14" s="28" t="n">
        <x:f>K14*(1+'Assumptions'!$B$15)</x:f>
        <x:v>-287.2017526069132</x:v>
      </x:c>
      <x:c r="M14" s="28" t="n">
        <x:f>L14*(1+'Assumptions'!$B$15)</x:f>
        <x:v>-290.07377013298236</x:v>
      </x:c>
      <x:c r="N14" s="28" t="n">
        <x:f>M14*(1+'Assumptions'!$B$15)</x:f>
        <x:v>-292.9745078343122</x:v>
      </x:c>
      <x:c r="O14" s="28" t="n">
        <x:f>N14*(1+'Assumptions'!$B$15)</x:f>
        <x:v>-295.9042529126553</x:v>
      </x:c>
      <x:c r="P14" s="28" t="n">
        <x:f>O14*(1+'Assumptions'!$B$15)</x:f>
        <x:v>-298.8632954417819</x:v>
      </x:c>
      <x:c r="Q14" s="28" t="n">
        <x:f>P14*(1+'Assumptions'!$B$15)</x:f>
        <x:v>-301.8519283961997</x:v>
      </x:c>
      <x:c r="R14" s="28" t="n">
        <x:f>Q14*(1+'Assumptions'!$B$15)</x:f>
        <x:v>-304.8704476801617</x:v>
      </x:c>
      <x:c r="S14" s="28" t="n">
        <x:f>R14*(1+'Assumptions'!$B$15)</x:f>
        <x:v>-307.9191521569633</x:v>
      </x:c>
      <x:c r="T14" s="28" t="n">
        <x:f>S14*(1+'Assumptions'!$B$15)</x:f>
        <x:v>-310.99834367853293</x:v>
      </x:c>
      <x:c r="U14" s="28" t="n">
        <x:f>T14*(1+'Assumptions'!$B$15)</x:f>
        <x:v>-314.1083271153183</x:v>
      </x:c>
      <x:c r="V14" s="28" t="n">
        <x:f>U14*(1+'Assumptions'!$B$15)</x:f>
        <x:v>-317.2494103864715</x:v>
      </x:c>
      <x:c r="W14" s="28" t="n">
        <x:f>V14*(1+'Assumptions'!$B$15)</x:f>
        <x:v>-320.4219044903362</x:v>
      </x:c>
      <x:c r="X14" s="28" t="n">
        <x:f>W14*(1+'Assumptions'!$B$15)</x:f>
        <x:v>-323.62612353523957</x:v>
      </x:c>
      <x:c r="Y14" s="28" t="n">
        <x:f>X14*(1+'Assumptions'!$B$15)</x:f>
        <x:v>-326.862384770592</x:v>
      </x:c>
    </x:row>
    <x:row r="15">
      <x:c r="A15" s="32" t="str">
        <x:v>Total opex</x:v>
      </x:c>
      <x:c r="B15" s="33" t="n">
        <x:f>SUM(B13:B14)</x:f>
        <x:v>-650</x:v>
      </x:c>
      <x:c r="C15" s="33" t="n">
        <x:f>SUM(C13:C14)</x:f>
        <x:v>-664.3</x:v>
      </x:c>
      <x:c r="D15" s="33" t="n">
        <x:f>SUM(D13:D14)</x:f>
        <x:v>-678.977</x:v>
      </x:c>
      <x:c r="E15" s="33" t="n">
        <x:f>SUM(E13:E14)</x:f>
        <x:v>-694.04179</x:v>
      </x:c>
      <x:c r="F15" s="33" t="n">
        <x:f>SUM(F13:F14)</x:f>
        <x:v>-709.5054785</x:v>
      </x:c>
      <x:c r="G15" s="33" t="n">
        <x:f>SUM(G13:G14)</x:f>
        <x:v>-725.379502003</x:v>
      </x:c>
      <x:c r="H15" s="33" t="n">
        <x:f>SUM(H13:H14)</x:f>
        <x:v>-741.6756348025701</x:v>
      </x:c>
      <x:c r="I15" s="33" t="n">
        <x:f>SUM(I13:I14)</x:f>
        <x:v>-758.4059990635219</x:v>
      </x:c>
      <x:c r="J15" s="33" t="n">
        <x:f>SUM(J13:J14)</x:f>
        <x:v>-775.5830752044712</x:v>
      </x:c>
      <x:c r="K15" s="33" t="n">
        <x:f>SUM(K13:K14)</x:f>
        <x:v>-793.2197125913393</x:v>
      </x:c>
      <x:c r="L15" s="33" t="n">
        <x:f>SUM(L13:L14)</x:f>
        <x:v>-811.3291405511209</x:v>
      </x:c>
      <x:c r="M15" s="33" t="n">
        <x:f>SUM(M13:M14)</x:f>
        <x:v>-829.9249797155162</x:v>
      </x:c>
      <x:c r="N15" s="33" t="n">
        <x:f>SUM(N13:N14)</x:f>
        <x:v>-849.0212537043221</x:v>
      </x:c>
      <x:c r="O15" s="33" t="n">
        <x:f>SUM(O13:O14)</x:f>
        <x:v>-868.6324011587656</x:v>
      </x:c>
      <x:c r="P15" s="33" t="n">
        <x:f>SUM(P13:P14)</x:f>
        <x:v>-888.7732881352754</x:v>
      </x:c>
      <x:c r="Q15" s="33" t="n">
        <x:f>SUM(Q13:Q14)</x:f>
        <x:v>-909.459220870498</x:v>
      </x:c>
      <x:c r="R15" s="33" t="n">
        <x:f>SUM(R13:R14)</x:f>
        <x:v>-930.7059589286889</x:v>
      </x:c>
      <x:c r="S15" s="33" t="n">
        <x:f>SUM(S13:S14)</x:f>
        <x:v>-952.5297287429464</x:v>
      </x:c>
      <x:c r="T15" s="33" t="n">
        <x:f>SUM(T13:T14)</x:f>
        <x:v>-974.9472375620956</x:v>
      </x:c>
      <x:c r="U15" s="33" t="n">
        <x:f>SUM(U13:U14)</x:f>
        <x:v>-997.9756878153878</x:v>
      </x:c>
      <x:c r="V15" s="33" t="n">
        <x:f>SUM(V13:V14)</x:f>
        <x:v>-1021.6327919075432</x:v>
      </x:c>
      <x:c r="W15" s="33" t="n">
        <x:f>SUM(W13:W14)</x:f>
        <x:v>-1045.93678745704</x:v>
      </x:c>
      <x:c r="X15" s="33" t="n">
        <x:f>SUM(X13:X14)</x:f>
        <x:v>-1070.9064529909444</x:v>
      </x:c>
      <x:c r="Y15" s="33" t="n">
        <x:f>SUM(Y13:Y14)</x:f>
        <x:v>-1096.561124109968</x:v>
      </x:c>
    </x:row>
    <x:row r="16">
      <x:c r="A16" s="32" t="str">
        <x:v>Operating income</x:v>
      </x:c>
      <x:c r="B16" s="33" t="n">
        <x:f>SUM(B11,B15)</x:f>
        <x:v>-226.64</x:v>
      </x:c>
      <x:c r="C16" s="33" t="n">
        <x:f>SUM(C11,C15)</x:f>
        <x:v>-200.44719999999995</x:v>
      </x:c>
      <x:c r="D16" s="33" t="n">
        <x:f>SUM(D11,D15)</x:f>
        <x:v>-171.81245599999988</x:v>
      </x:c>
      <x:c r="E16" s="33" t="n">
        <x:f>SUM(E11,E15)</x:f>
        <x:v>-139.45855287999984</x:v>
      </x:c>
      <x:c r="F16" s="33" t="n">
        <x:f>SUM(F11,F15)</x:f>
        <x:v>-103.02593300239982</x:v>
      </x:c>
      <x:c r="G16" s="33" t="n">
        <x:f>SUM(G11,G15)</x:f>
        <x:v>-62.09896985375167</x:v>
      </x:c>
      <x:c r="H16" s="33" t="n">
        <x:f>SUM(H11,H15)</x:f>
        <x:v>-16.22177494161872</x:v>
      </x:c>
      <x:c r="I16" s="33" t="n">
        <x:f>SUM(I11,I15)</x:f>
        <x:v>35.10614324351047</x:v>
      </x:c>
      <x:c r="J16" s="33" t="n">
        <x:f>SUM(J11,J15)</x:f>
        <x:v>92.43420950997984</x:v>
      </x:c>
      <x:c r="K16" s="33" t="n">
        <x:f>SUM(K11,K15)</x:f>
        <x:v>156.36554302541072</x:v>
      </x:c>
      <x:c r="L16" s="33" t="n">
        <x:f>SUM(L11,L15)</x:f>
        <x:v>227.5621824526263</x:v>
      </x:c>
      <x:c r="M16" s="33" t="n">
        <x:f>SUM(M11,M15)</x:f>
        <x:v>306.7508207599535</x:v>
      </x:c>
      <x:c r="N16" s="33" t="n">
        <x:f>SUM(N11,N15)</x:f>
        <x:v>394.7290996037507</x:v>
      </x:c>
      <x:c r="O16" s="33" t="n">
        <x:f>SUM(O11,O15)</x:f>
        <x:v>492.37251808797487</x:v>
      </x:c>
      <x:c r="P16" s="33" t="n">
        <x:f>SUM(P11,P15)</x:f>
        <x:v>600.6420160926277</x:v>
      </x:c>
      <x:c r="Q16" s="33" t="n">
        <x:f>SUM(Q11,Q15)</x:f>
        <x:v>720.592298281204</x:v>
      </x:c>
      <x:c r="R16" s="33" t="n">
        <x:f>SUM(R11,R15)</x:f>
        <x:v>853.3809713992721</x:v>
      </x:c>
      <x:c r="S16" s="33" t="n">
        <x:f>SUM(S11,S15)</x:f>
        <x:v>1000.2785746197872</x:v>
      </x:c>
      <x:c r="T16" s="33" t="n">
        <x:f>SUM(T11,T15)</x:f>
        <x:v>1162.6795905390456</x:v>
      </x:c>
      <x:c r="U16" s="33" t="n">
        <x:f>SUM(U11,U15)</x:f>
        <x:v>1342.114533050172</x:v>
      </x:c>
      <x:c r="V16" s="33" t="n">
        <x:f>SUM(V11,V15)</x:f>
        <x:v>1540.263217795222</x:v>
      </x:c>
      <x:c r="W16" s="33" t="n">
        <x:f>SUM(W11,W15)</x:f>
        <x:v>1758.9693313067025</x:v>
      </x:c>
      <x:c r="X16" s="33" t="n">
        <x:f>SUM(X11,X15)</x:f>
        <x:v>2000.2564263871293</x:v>
      </x:c>
      <x:c r="Y16" s="33" t="n">
        <x:f>SUM(Y11,Y15)</x:f>
        <x:v>2266.345483842908</x:v>
      </x:c>
    </x:row>
    <x:row r="17">
      <x:c r="A17" t="str">
        <x:v>Operating margin</x:v>
      </x:c>
      <x:c r="B17" s="29" t="n">
        <x:f>IF(B9=0,0,B16/B9)</x:f>
        <x:v>-0.3854421768707483</x:v>
      </x:c>
      <x:c r="C17" s="29" t="n">
        <x:f>IF(C9=0,0,C16/C9)</x:f>
        <x:v>-0.3111374642990189</x:v>
      </x:c>
      <x:c r="D17" s="29" t="n">
        <x:f>IF(D9=0,0,D16/D9)</x:f>
        <x:v>-0.24391485915860847</x:v>
      </x:c>
      <x:c r="E17" s="29" t="n">
        <x:f>IF(E9=0,0,E16/E9)</x:f>
        <x:v>-0.1810551624225765</x:v>
      </x:c>
      <x:c r="F17" s="29" t="n">
        <x:f>IF(F9=0,0,F16/F9)</x:f>
        <x:v>-0.12231026142994857</x:v>
      </x:c>
      <x:c r="G17" s="29" t="n">
        <x:f>IF(G9=0,0,G16/G9)</x:f>
        <x:v>-0.06740927273987966</x:v>
      </x:c>
      <x:c r="H17" s="29" t="n">
        <x:f>IF(H9=0,0,H16/H9)</x:f>
        <x:v>-0.01609982192417328</x:v>
      </x:c>
      <x:c r="I17" s="29" t="n">
        <x:f>IF(I9=0,0,I16/I9)</x:f>
        <x:v>0.03185385804159172</x:v>
      </x:c>
      <x:c r="J17" s="29" t="n">
        <x:f>IF(J9=0,0,J16/J9)</x:f>
        <x:v>0.07667201105226734</x:v>
      </x:c>
      <x:c r="K17" s="29" t="n">
        <x:f>IF(K9=0,0,K16/K9)</x:f>
        <x:v>0.11856038234836912</x:v>
      </x:c>
      <x:c r="L17" s="29" t="n">
        <x:f>IF(L9=0,0,L16/L9)</x:f>
        <x:v>0.1577111751132606</x:v>
      </x:c>
      <x:c r="M17" s="29" t="n">
        <x:f>IF(M9=0,0,M16/M9)</x:f>
        <x:v>0.19430394388160713</x:v>
      </x:c>
      <x:c r="N17" s="29" t="n">
        <x:f>IF(N9=0,0,N16/N9)</x:f>
        <x:v>0.22850642892987696</x:v>
      </x:c>
      <x:c r="O17" s="29" t="n">
        <x:f>IF(O9=0,0,O16/O9)</x:f>
        <x:v>0.26047533554805036</x:v>
      </x:c>
      <x:c r="P17" s="29" t="n">
        <x:f>IF(P9=0,0,P16/P9)</x:f>
        <x:v>0.2903570618343254</x:v>
      </x:c>
      <x:c r="Q17" s="29" t="n">
        <x:f>IF(Q9=0,0,Q16/Q9)</x:f>
        <x:v>0.31828837841424196</x:v>
      </x:c>
      <x:c r="R17" s="29" t="n">
        <x:f>IF(R9=0,0,R16/R9)</x:f>
        <x:v>0.3443970632611086</x:v>
      </x:c>
      <x:c r="S17" s="29" t="n">
        <x:f>IF(S9=0,0,S16/S9)</x:f>
        <x:v>0.3688024945848818</x:v>
      </x:c>
      <x:c r="T17" s="29" t="n">
        <x:f>IF(T9=0,0,T16/T9)</x:f>
        <x:v>0.3916162045607075</x:v>
      </x:c>
      <x:c r="U17" s="29" t="n">
        <x:f>IF(U9=0,0,U16/U9)</x:f>
        <x:v>0.4129423964853361</x:v>
      </x:c>
      <x:c r="V17" s="29" t="n">
        <x:f>IF(V9=0,0,V16/V9)</x:f>
        <x:v>0.43287842777866165</x:v>
      </x:c>
      <x:c r="W17" s="29" t="n">
        <x:f>IF(W9=0,0,W16/W9)</x:f>
        <x:v>0.45151526108795925</x:v>
      </x:c>
      <x:c r="X17" s="29" t="n">
        <x:f>IF(X9=0,0,X16/X9)</x:f>
        <x:v>0.46893788560324673</x:v>
      </x:c>
      <x:c r="Y17" s="29" t="n">
        <x:f>IF(Y9=0,0,Y16/Y9)</x:f>
        <x:v>0.4852257105528752</x:v>
      </x:c>
    </x:row>
    <x:row r="18">
      <x:c r="A18" t="str">
        <x:v>HQ funding</x:v>
      </x:c>
      <x:c r="B18" s="28" t="n">
        <x:f>IF(COLUMN()-1='Assumptions'!$B$17,'Assumptions'!$B$18,0)</x:f>
        <x:v>0</x:v>
      </x:c>
      <x:c r="C18" s="28" t="n">
        <x:f>IF(COLUMN()-1='Assumptions'!$B$17,'Assumptions'!$B$18,0)</x:f>
        <x:v>0</x:v>
      </x:c>
      <x:c r="D18" s="28" t="n">
        <x:f>IF(COLUMN()-1='Assumptions'!$B$17,'Assumptions'!$B$18,0)</x:f>
        <x:v>0</x:v>
      </x:c>
      <x:c r="E18" s="28" t="n">
        <x:f>IF(COLUMN()-1='Assumptions'!$B$17,'Assumptions'!$B$18,0)</x:f>
        <x:v>0</x:v>
      </x:c>
      <x:c r="F18" s="28" t="n">
        <x:f>IF(COLUMN()-1='Assumptions'!$B$17,'Assumptions'!$B$18,0)</x:f>
        <x:v>0</x:v>
      </x:c>
      <x:c r="G18" s="28" t="n">
        <x:f>IF(COLUMN()-1='Assumptions'!$B$17,'Assumptions'!$B$18,0)</x:f>
        <x:v>0</x:v>
      </x:c>
      <x:c r="H18" s="28" t="n">
        <x:f>IF(COLUMN()-1='Assumptions'!$B$17,'Assumptions'!$B$18,0)</x:f>
        <x:v>4000</x:v>
      </x:c>
      <x:c r="I18" s="28" t="n">
        <x:f>IF(COLUMN()-1='Assumptions'!$B$17,'Assumptions'!$B$18,0)</x:f>
        <x:v>0</x:v>
      </x:c>
      <x:c r="J18" s="28" t="n">
        <x:f>IF(COLUMN()-1='Assumptions'!$B$17,'Assumptions'!$B$18,0)</x:f>
        <x:v>0</x:v>
      </x:c>
      <x:c r="K18" s="28" t="n">
        <x:f>IF(COLUMN()-1='Assumptions'!$B$17,'Assumptions'!$B$18,0)</x:f>
        <x:v>0</x:v>
      </x:c>
      <x:c r="L18" s="28" t="n">
        <x:f>IF(COLUMN()-1='Assumptions'!$B$17,'Assumptions'!$B$18,0)</x:f>
        <x:v>0</x:v>
      </x:c>
      <x:c r="M18" s="28" t="n">
        <x:f>IF(COLUMN()-1='Assumptions'!$B$17,'Assumptions'!$B$18,0)</x:f>
        <x:v>0</x:v>
      </x:c>
      <x:c r="N18" s="28" t="n">
        <x:f>IF(COLUMN()-1='Assumptions'!$B$17,'Assumptions'!$B$18,0)</x:f>
        <x:v>0</x:v>
      </x:c>
      <x:c r="O18" s="28" t="n">
        <x:f>IF(COLUMN()-1='Assumptions'!$B$17,'Assumptions'!$B$18,0)</x:f>
        <x:v>0</x:v>
      </x:c>
      <x:c r="P18" s="28" t="n">
        <x:f>IF(COLUMN()-1='Assumptions'!$B$17,'Assumptions'!$B$18,0)</x:f>
        <x:v>0</x:v>
      </x:c>
      <x:c r="Q18" s="28" t="n">
        <x:f>IF(COLUMN()-1='Assumptions'!$B$17,'Assumptions'!$B$18,0)</x:f>
        <x:v>0</x:v>
      </x:c>
      <x:c r="R18" s="28" t="n">
        <x:f>IF(COLUMN()-1='Assumptions'!$B$17,'Assumptions'!$B$18,0)</x:f>
        <x:v>0</x:v>
      </x:c>
      <x:c r="S18" s="28" t="n">
        <x:f>IF(COLUMN()-1='Assumptions'!$B$17,'Assumptions'!$B$18,0)</x:f>
        <x:v>0</x:v>
      </x:c>
      <x:c r="T18" s="28" t="n">
        <x:f>IF(COLUMN()-1='Assumptions'!$B$17,'Assumptions'!$B$18,0)</x:f>
        <x:v>0</x:v>
      </x:c>
      <x:c r="U18" s="28" t="n">
        <x:f>IF(COLUMN()-1='Assumptions'!$B$17,'Assumptions'!$B$18,0)</x:f>
        <x:v>0</x:v>
      </x:c>
      <x:c r="V18" s="28" t="n">
        <x:f>IF(COLUMN()-1='Assumptions'!$B$17,'Assumptions'!$B$18,0)</x:f>
        <x:v>0</x:v>
      </x:c>
      <x:c r="W18" s="28" t="n">
        <x:f>IF(COLUMN()-1='Assumptions'!$B$17,'Assumptions'!$B$18,0)</x:f>
        <x:v>0</x:v>
      </x:c>
      <x:c r="X18" s="28" t="n">
        <x:f>IF(COLUMN()-1='Assumptions'!$B$17,'Assumptions'!$B$18,0)</x:f>
        <x:v>0</x:v>
      </x:c>
      <x:c r="Y18" s="28" t="n">
        <x:f>IF(COLUMN()-1='Assumptions'!$B$17,'Assumptions'!$B$18,0)</x:f>
        <x:v>0</x:v>
      </x:c>
    </x:row>
    <x:row r="19">
      <x:c r="A19" t="str">
        <x:v>Net cash flow</x:v>
      </x:c>
      <x:c r="B19" s="28" t="n">
        <x:f>SUM(B16,B18)</x:f>
        <x:v>-226.64</x:v>
      </x:c>
      <x:c r="C19" s="28" t="n">
        <x:f>SUM(C16,C18)</x:f>
        <x:v>-200.44719999999995</x:v>
      </x:c>
      <x:c r="D19" s="28" t="n">
        <x:f>SUM(D16,D18)</x:f>
        <x:v>-171.81245599999988</x:v>
      </x:c>
      <x:c r="E19" s="28" t="n">
        <x:f>SUM(E16,E18)</x:f>
        <x:v>-139.45855287999984</x:v>
      </x:c>
      <x:c r="F19" s="28" t="n">
        <x:f>SUM(F16,F18)</x:f>
        <x:v>-103.02593300239982</x:v>
      </x:c>
      <x:c r="G19" s="28" t="n">
        <x:f>SUM(G16,G18)</x:f>
        <x:v>-62.09896985375167</x:v>
      </x:c>
      <x:c r="H19" s="28" t="n">
        <x:f>SUM(H16,H18)</x:f>
        <x:v>3983.7782250583814</x:v>
      </x:c>
      <x:c r="I19" s="28" t="n">
        <x:f>SUM(I16,I18)</x:f>
        <x:v>35.10614324351047</x:v>
      </x:c>
      <x:c r="J19" s="28" t="n">
        <x:f>SUM(J16,J18)</x:f>
        <x:v>92.43420950997984</x:v>
      </x:c>
      <x:c r="K19" s="28" t="n">
        <x:f>SUM(K16,K18)</x:f>
        <x:v>156.36554302541072</x:v>
      </x:c>
      <x:c r="L19" s="28" t="n">
        <x:f>SUM(L16,L18)</x:f>
        <x:v>227.5621824526263</x:v>
      </x:c>
      <x:c r="M19" s="28" t="n">
        <x:f>SUM(M16,M18)</x:f>
        <x:v>306.7508207599535</x:v>
      </x:c>
      <x:c r="N19" s="28" t="n">
        <x:f>SUM(N16,N18)</x:f>
        <x:v>394.7290996037507</x:v>
      </x:c>
      <x:c r="O19" s="28" t="n">
        <x:f>SUM(O16,O18)</x:f>
        <x:v>492.37251808797487</x:v>
      </x:c>
      <x:c r="P19" s="28" t="n">
        <x:f>SUM(P16,P18)</x:f>
        <x:v>600.6420160926277</x:v>
      </x:c>
      <x:c r="Q19" s="28" t="n">
        <x:f>SUM(Q16,Q18)</x:f>
        <x:v>720.592298281204</x:v>
      </x:c>
      <x:c r="R19" s="28" t="n">
        <x:f>SUM(R16,R18)</x:f>
        <x:v>853.3809713992721</x:v>
      </x:c>
      <x:c r="S19" s="28" t="n">
        <x:f>SUM(S16,S18)</x:f>
        <x:v>1000.2785746197872</x:v>
      </x:c>
      <x:c r="T19" s="28" t="n">
        <x:f>SUM(T16,T18)</x:f>
        <x:v>1162.6795905390456</x:v>
      </x:c>
      <x:c r="U19" s="28" t="n">
        <x:f>SUM(U16,U18)</x:f>
        <x:v>1342.114533050172</x:v>
      </x:c>
      <x:c r="V19" s="28" t="n">
        <x:f>SUM(V16,V18)</x:f>
        <x:v>1540.263217795222</x:v>
      </x:c>
      <x:c r="W19" s="28" t="n">
        <x:f>SUM(W16,W18)</x:f>
        <x:v>1758.9693313067025</x:v>
      </x:c>
      <x:c r="X19" s="28" t="n">
        <x:f>SUM(X16,X18)</x:f>
        <x:v>2000.2564263871293</x:v>
      </x:c>
      <x:c r="Y19" s="28" t="n">
        <x:f>SUM(Y16,Y18)</x:f>
        <x:v>2266.345483842908</x:v>
      </x:c>
    </x:row>
    <x:row r="20">
      <x:c r="A20" t="str">
        <x:v>Beginning cash</x:v>
      </x:c>
      <x:c r="B20" s="28" t="n">
        <x:f>'Assumptions'!$B$16</x:f>
        <x:v>6000</x:v>
      </x:c>
      <x:c r="C20" s="28" t="n">
        <x:f>B21</x:f>
        <x:v>5773.36</x:v>
      </x:c>
      <x:c r="D20" s="28" t="n">
        <x:f>C21</x:f>
        <x:v>5572.9128</x:v>
      </x:c>
      <x:c r="E20" s="28" t="n">
        <x:f>D21</x:f>
        <x:v>5401.100344</x:v>
      </x:c>
      <x:c r="F20" s="28" t="n">
        <x:f>E21</x:f>
        <x:v>5261.641791120001</x:v>
      </x:c>
      <x:c r="G20" s="28" t="n">
        <x:f>F21</x:f>
        <x:v>5158.6158581176005</x:v>
      </x:c>
      <x:c r="H20" s="28" t="n">
        <x:f>G21</x:f>
        <x:v>5096.516888263849</x:v>
      </x:c>
      <x:c r="I20" s="28" t="n">
        <x:f>H21</x:f>
        <x:v>9080.29511332223</x:v>
      </x:c>
      <x:c r="J20" s="28" t="n">
        <x:f>I21</x:f>
        <x:v>9115.401256565741</x:v>
      </x:c>
      <x:c r="K20" s="28" t="n">
        <x:f>J21</x:f>
        <x:v>9207.835466075721</x:v>
      </x:c>
      <x:c r="L20" s="28" t="n">
        <x:f>K21</x:f>
        <x:v>9364.201009101133</x:v>
      </x:c>
      <x:c r="M20" s="28" t="n">
        <x:f>L21</x:f>
        <x:v>9591.763191553759</x:v>
      </x:c>
      <x:c r="N20" s="28" t="n">
        <x:f>M21</x:f>
        <x:v>9898.514012313712</x:v>
      </x:c>
      <x:c r="O20" s="28" t="n">
        <x:f>N21</x:f>
        <x:v>10293.243111917462</x:v>
      </x:c>
      <x:c r="P20" s="28" t="n">
        <x:f>O21</x:f>
        <x:v>10785.615630005437</x:v>
      </x:c>
      <x:c r="Q20" s="28" t="n">
        <x:f>P21</x:f>
        <x:v>11386.257646098065</x:v>
      </x:c>
      <x:c r="R20" s="28" t="n">
        <x:f>Q21</x:f>
        <x:v>12106.84994437927</x:v>
      </x:c>
      <x:c r="S20" s="28" t="n">
        <x:f>R21</x:f>
        <x:v>12960.230915778542</x:v>
      </x:c>
      <x:c r="T20" s="28" t="n">
        <x:f>S21</x:f>
        <x:v>13960.50949039833</x:v>
      </x:c>
      <x:c r="U20" s="28" t="n">
        <x:f>T21</x:f>
        <x:v>15123.189080937376</x:v>
      </x:c>
      <x:c r="V20" s="28" t="n">
        <x:f>U21</x:f>
        <x:v>16465.303613987548</x:v>
      </x:c>
      <x:c r="W20" s="28" t="n">
        <x:f>V21</x:f>
        <x:v>18005.56683178277</x:v>
      </x:c>
      <x:c r="X20" s="28" t="n">
        <x:f>W21</x:f>
        <x:v>19764.536163089473</x:v>
      </x:c>
      <x:c r="Y20" s="28" t="n">
        <x:f>X21</x:f>
        <x:v>21764.7925894766</x:v>
      </x:c>
    </x:row>
    <x:row r="21">
      <x:c r="A21" s="32" t="str">
        <x:v>Ending cash</x:v>
      </x:c>
      <x:c r="B21" s="33" t="n">
        <x:f>SUM(B19:B20)</x:f>
        <x:v>5773.36</x:v>
      </x:c>
      <x:c r="C21" s="33" t="n">
        <x:f>SUM(C19:C20)</x:f>
        <x:v>5572.9128</x:v>
      </x:c>
      <x:c r="D21" s="33" t="n">
        <x:f>SUM(D19:D20)</x:f>
        <x:v>5401.100344</x:v>
      </x:c>
      <x:c r="E21" s="33" t="n">
        <x:f>SUM(E19:E20)</x:f>
        <x:v>5261.641791120001</x:v>
      </x:c>
      <x:c r="F21" s="33" t="n">
        <x:f>SUM(F19:F20)</x:f>
        <x:v>5158.6158581176005</x:v>
      </x:c>
      <x:c r="G21" s="33" t="n">
        <x:f>SUM(G19:G20)</x:f>
        <x:v>5096.516888263849</x:v>
      </x:c>
      <x:c r="H21" s="33" t="n">
        <x:f>SUM(H19:H20)</x:f>
        <x:v>9080.29511332223</x:v>
      </x:c>
      <x:c r="I21" s="33" t="n">
        <x:f>SUM(I19:I20)</x:f>
        <x:v>9115.401256565741</x:v>
      </x:c>
      <x:c r="J21" s="33" t="n">
        <x:f>SUM(J19:J20)</x:f>
        <x:v>9207.835466075721</x:v>
      </x:c>
      <x:c r="K21" s="33" t="n">
        <x:f>SUM(K19:K20)</x:f>
        <x:v>9364.201009101133</x:v>
      </x:c>
      <x:c r="L21" s="33" t="n">
        <x:f>SUM(L19:L20)</x:f>
        <x:v>9591.763191553759</x:v>
      </x:c>
      <x:c r="M21" s="33" t="n">
        <x:f>SUM(M19:M20)</x:f>
        <x:v>9898.514012313712</x:v>
      </x:c>
      <x:c r="N21" s="33" t="n">
        <x:f>SUM(N19:N20)</x:f>
        <x:v>10293.243111917462</x:v>
      </x:c>
      <x:c r="O21" s="33" t="n">
        <x:f>SUM(O19:O20)</x:f>
        <x:v>10785.615630005437</x:v>
      </x:c>
      <x:c r="P21" s="33" t="n">
        <x:f>SUM(P19:P20)</x:f>
        <x:v>11386.257646098065</x:v>
      </x:c>
      <x:c r="Q21" s="33" t="n">
        <x:f>SUM(Q19:Q20)</x:f>
        <x:v>12106.84994437927</x:v>
      </x:c>
      <x:c r="R21" s="33" t="n">
        <x:f>SUM(R19:R20)</x:f>
        <x:v>12960.230915778542</x:v>
      </x:c>
      <x:c r="S21" s="33" t="n">
        <x:f>SUM(S19:S20)</x:f>
        <x:v>13960.50949039833</x:v>
      </x:c>
      <x:c r="T21" s="33" t="n">
        <x:f>SUM(T19:T20)</x:f>
        <x:v>15123.189080937376</x:v>
      </x:c>
      <x:c r="U21" s="33" t="n">
        <x:f>SUM(U19:U20)</x:f>
        <x:v>16465.303613987548</x:v>
      </x:c>
      <x:c r="V21" s="33" t="n">
        <x:f>SUM(V19:V20)</x:f>
        <x:v>18005.56683178277</x:v>
      </x:c>
      <x:c r="W21" s="33" t="n">
        <x:f>SUM(W19:W20)</x:f>
        <x:v>19764.536163089473</x:v>
      </x:c>
      <x:c r="X21" s="33" t="n">
        <x:f>SUM(X19:X20)</x:f>
        <x:v>21764.7925894766</x:v>
      </x:c>
      <x:c r="Y21" s="33" t="n">
        <x:f>SUM(Y19:Y20)</x:f>
        <x:v>24031.13807331951</x:v>
      </x:c>
    </x:row>
  </x:sheetData>
  <x:mergeCells>
    <x:mergeCell ref="A1:Y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  <x:col min="11" max="11" width="13.130000114440918" hidden="0" customWidth="1"/>
    <x:col min="12" max="12" width="32.5" hidden="0" customWidth="1"/>
    <x:col min="13" max="13" width="12.5" hidden="0" customWidth="1"/>
  </x:cols>
  <x:sheetData>
    <x:row r="1" ht="26" customHeight="1">
      <x:c r="A1" s="3" t="str">
        <x:v>Variance Analysis — Actual vs Forecast</x:v>
      </x:c>
      <x:c r="B1" s="3" t="str">
        <x:v>Variance Analysis — Actual vs Forecast</x:v>
      </x:c>
      <x:c r="C1" s="3" t="str">
        <x:v>Variance Analysis — Actual vs Forecast</x:v>
      </x:c>
      <x:c r="D1" s="3" t="str">
        <x:v>Variance Analysis — Actual vs Forecast</x:v>
      </x:c>
      <x:c r="E1" s="3" t="str">
        <x:v>Variance Analysis — Actual vs Forecast</x:v>
      </x:c>
      <x:c r="F1" s="3" t="str">
        <x:v>Variance Analysis — Actual vs Forecast</x:v>
      </x:c>
      <x:c r="G1" s="3" t="str">
        <x:v>Variance Analysis — Actual vs Forecast</x:v>
      </x:c>
      <x:c r="H1" s="3" t="str">
        <x:v>Variance Analysis — Actual vs Forecast</x:v>
      </x:c>
      <x:c r="I1" s="3" t="str">
        <x:v>Variance Analysis — Actual vs Forecast</x:v>
      </x:c>
      <x:c r="J1" s="3" t="str">
        <x:v>Variance Analysis — Actual vs Forecast</x:v>
      </x:c>
      <x:c r="K1" s="3" t="str">
        <x:v>Variance Analysis — Actual vs Forecast</x:v>
      </x:c>
      <x:c r="L1" s="3" t="str">
        <x:v>Variance Analysis — Actual vs Forecast</x:v>
      </x:c>
      <x:c r="M1" s="3" t="str">
        <x:v>Variance Analysis — Actual vs Forecast</x:v>
      </x:c>
    </x:row>
    <x:row r="2" ht="26" customHeight="1">
      <x:c r="A2" s="3" t="str">
        <x:v>Variance Analysis — Actual vs Forecast</x:v>
      </x:c>
      <x:c r="B2" s="3" t="str">
        <x:v>Variance Analysis — Actual vs Forecast</x:v>
      </x:c>
      <x:c r="C2" s="3" t="str">
        <x:v>Variance Analysis — Actual vs Forecast</x:v>
      </x:c>
      <x:c r="D2" s="3" t="str">
        <x:v>Variance Analysis — Actual vs Forecast</x:v>
      </x:c>
      <x:c r="E2" s="3" t="str">
        <x:v>Variance Analysis — Actual vs Forecast</x:v>
      </x:c>
      <x:c r="F2" s="3" t="str">
        <x:v>Variance Analysis — Actual vs Forecast</x:v>
      </x:c>
      <x:c r="G2" s="3" t="str">
        <x:v>Variance Analysis — Actual vs Forecast</x:v>
      </x:c>
      <x:c r="H2" s="3" t="str">
        <x:v>Variance Analysis — Actual vs Forecast</x:v>
      </x:c>
      <x:c r="I2" s="3" t="str">
        <x:v>Variance Analysis — Actual vs Forecast</x:v>
      </x:c>
      <x:c r="J2" s="3" t="str">
        <x:v>Variance Analysis — Actual vs Forecast</x:v>
      </x:c>
      <x:c r="K2" s="3" t="str">
        <x:v>Variance Analysis — Actual vs Forecast</x:v>
      </x:c>
      <x:c r="L2" s="3" t="str">
        <x:v>Variance Analysis — Actual vs Forecast</x:v>
      </x:c>
      <x:c r="M2" s="3" t="str">
        <x:v>Variance Analysis — Actual vs Forecast</x:v>
      </x:c>
    </x:row>
    <x:row r="4">
      <x:c r="A4" s="12" t="str">
        <x:v>Month</x:v>
      </x:c>
      <x:c r="B4" s="13" t="str">
        <x:v>Actual revenue</x:v>
      </x:c>
      <x:c r="C4" s="13" t="str">
        <x:v>Forecast revenue</x:v>
      </x:c>
      <x:c r="D4" s="13" t="str">
        <x:v>Var BRL k</x:v>
      </x:c>
      <x:c r="E4" s="13" t="str">
        <x:v>Var %</x:v>
      </x:c>
      <x:c r="F4" s="13" t="str">
        <x:v>Actual COGS</x:v>
      </x:c>
      <x:c r="G4" s="13" t="str">
        <x:v>Forecast COGS</x:v>
      </x:c>
      <x:c r="H4" s="13" t="str">
        <x:v>Var COGS</x:v>
      </x:c>
      <x:c r="I4" s="13" t="str">
        <x:v>Actual opex</x:v>
      </x:c>
      <x:c r="J4" s="13" t="str">
        <x:v>Forecast opex</x:v>
      </x:c>
      <x:c r="K4" s="13" t="str">
        <x:v>Var opex</x:v>
      </x:c>
      <x:c r="L4" s="13" t="str">
        <x:v>Comment / driver</x:v>
      </x:c>
      <x:c r="M4" s="14" t="str">
        <x:v>Owner</x:v>
      </x:c>
    </x:row>
    <x:row r="5">
      <x:c r="A5" s="19" t="n">
        <x:v>46023</x:v>
      </x:c>
      <x:c r="B5" s="35" t="n">
        <x:v>560</x:v>
      </x:c>
      <x:c r="C5" s="28" t="n">
        <x:f>'Forecast'!B9</x:f>
        <x:v>588</x:v>
      </x:c>
      <x:c r="D5" s="36" t="n">
        <x:f>B5-C5</x:f>
        <x:v>-28</x:v>
      </x:c>
      <x:c r="E5" s="37" t="n">
        <x:f>IF(B5=0,0,D5/B5)</x:f>
        <x:v>-0.05</x:v>
      </x:c>
      <x:c r="F5" s="35" t="n">
        <x:v>165</x:v>
      </x:c>
      <x:c r="G5" s="28" t="n">
        <x:f>-'Forecast'!B10</x:f>
        <x:v>164.64000000000001</x:v>
      </x:c>
      <x:c r="H5" s="36" t="n">
        <x:f>F5-G5</x:f>
        <x:v>0.3599999999999852</x:v>
      </x:c>
      <x:c r="I5" s="35" t="n">
        <x:v>650</x:v>
      </x:c>
      <x:c r="J5" s="28" t="n">
        <x:f>-'Forecast'!B15</x:f>
        <x:v>650</x:v>
      </x:c>
      <x:c r="K5" s="36" t="n">
        <x:f>I5-J5</x:f>
        <x:v>0</x:v>
      </x:c>
      <x:c r="L5" s="38" t="str"/>
      <x:c r="M5" s="16" t="str">
        <x:v>Learner</x:v>
      </x:c>
    </x:row>
    <x:row r="6">
      <x:c r="A6" s="19" t="n">
        <x:v>46054</x:v>
      </x:c>
      <x:c r="B6" s="35" t="n">
        <x:v>610</x:v>
      </x:c>
      <x:c r="C6" s="28" t="n">
        <x:f>'Forecast'!C9</x:f>
        <x:v>644.24</x:v>
      </x:c>
      <x:c r="D6" s="36" t="n">
        <x:f>B6-C6</x:f>
        <x:v>-34.24000000000001</x:v>
      </x:c>
      <x:c r="E6" s="37" t="n">
        <x:f>IF(B6=0,0,D6/B6)</x:f>
        <x:v>-0.05613114754098362</x:v>
      </x:c>
      <x:c r="F6" s="35" t="n">
        <x:v>180</x:v>
      </x:c>
      <x:c r="G6" s="28" t="n">
        <x:f>-'Forecast'!C10</x:f>
        <x:v>180.3872</x:v>
      </x:c>
      <x:c r="H6" s="36" t="n">
        <x:f>F6-G6</x:f>
        <x:v>-0.3872000000000071</x:v>
      </x:c>
      <x:c r="I6" s="35" t="n">
        <x:v>670</x:v>
      </x:c>
      <x:c r="J6" s="28" t="n">
        <x:f>-'Forecast'!C15</x:f>
        <x:v>664.3</x:v>
      </x:c>
      <x:c r="K6" s="36" t="n">
        <x:f>I6-J6</x:f>
        <x:v>5.7000000000000455</x:v>
      </x:c>
      <x:c r="L6" s="38" t="str"/>
      <x:c r="M6" s="16" t="str">
        <x:v>Learner</x:v>
      </x:c>
    </x:row>
    <x:row r="7">
      <x:c r="A7" s="19" t="n">
        <x:v>46082</x:v>
      </x:c>
      <x:c r="B7" s="35" t="n">
        <x:v>670</x:v>
      </x:c>
      <x:c r="C7" s="28" t="n">
        <x:f>'Forecast'!D9</x:f>
        <x:v>704.3952000000002</x:v>
      </x:c>
      <x:c r="D7" s="36" t="n">
        <x:f>B7-C7</x:f>
        <x:v>-34.39520000000016</x:v>
      </x:c>
      <x:c r="E7" s="37" t="n">
        <x:f>IF(B7=0,0,D7/B7)</x:f>
        <x:v>-0.05133611940298531</x:v>
      </x:c>
      <x:c r="F7" s="35" t="n">
        <x:v>198</x:v>
      </x:c>
      <x:c r="G7" s="28" t="n">
        <x:f>-'Forecast'!D10</x:f>
        <x:v>197.23065600000007</x:v>
      </x:c>
      <x:c r="H7" s="36" t="n">
        <x:f>F7-G7</x:f>
        <x:v>0.7693439999999327</x:v>
      </x:c>
      <x:c r="I7" s="35" t="n">
        <x:v>690</x:v>
      </x:c>
      <x:c r="J7" s="28" t="n">
        <x:f>-'Forecast'!D15</x:f>
        <x:v>678.977</x:v>
      </x:c>
      <x:c r="K7" s="36" t="n">
        <x:f>I7-J7</x:f>
        <x:v>11.023000000000025</x:v>
      </x:c>
      <x:c r="L7" s="38" t="str"/>
      <x:c r="M7" s="16" t="str">
        <x:v>Learner</x:v>
      </x:c>
    </x:row>
    <x:row r="8">
      <x:c r="A8" s="19" t="n">
        <x:v>46113</x:v>
      </x:c>
      <x:c r="B8" s="35" t="n">
        <x:v>720</x:v>
      </x:c>
      <x:c r="C8" s="28" t="n">
        <x:f>'Forecast'!E9</x:f>
        <x:v>770.2544960000002</x:v>
      </x:c>
      <x:c r="D8" s="36" t="n">
        <x:f>B8-C8</x:f>
        <x:v>-50.254496000000245</x:v>
      </x:c>
      <x:c r="E8" s="37" t="n">
        <x:f>IF(B8=0,0,D8/B8)</x:f>
        <x:v>-0.06979791111111146</x:v>
      </x:c>
      <x:c r="F8" s="35" t="n">
        <x:v>215</x:v>
      </x:c>
      <x:c r="G8" s="28" t="n">
        <x:f>-'Forecast'!E10</x:f>
        <x:v>215.6712588800001</x:v>
      </x:c>
      <x:c r="H8" s="36" t="n">
        <x:f>F8-G8</x:f>
        <x:v>-0.6712588800000958</x:v>
      </x:c>
      <x:c r="I8" s="35" t="n">
        <x:v>710</x:v>
      </x:c>
      <x:c r="J8" s="28" t="n">
        <x:f>-'Forecast'!E15</x:f>
        <x:v>694.04179</x:v>
      </x:c>
      <x:c r="K8" s="36" t="n">
        <x:f>I8-J8</x:f>
        <x:v>15.958210000000008</x:v>
      </x:c>
      <x:c r="L8" s="38" t="str"/>
      <x:c r="M8" s="16" t="str">
        <x:v>Learner</x:v>
      </x:c>
    </x:row>
    <x:row r="9">
      <x:c r="A9" s="19" t="n">
        <x:v>46143</x:v>
      </x:c>
      <x:c r="B9" s="35" t="n">
        <x:v>760</x:v>
      </x:c>
      <x:c r="C9" s="28" t="n">
        <x:f>'Forecast'!F9</x:f>
        <x:v>842.3327020800003</x:v>
      </x:c>
      <x:c r="D9" s="36" t="n">
        <x:f>B9-C9</x:f>
        <x:v>-82.33270208000033</x:v>
      </x:c>
      <x:c r="E9" s="37" t="n">
        <x:f>IF(B9=0,0,D9/B9)</x:f>
        <x:v>-0.10833250273684254</x:v>
      </x:c>
      <x:c r="F9" s="35" t="n">
        <x:v>225</x:v>
      </x:c>
      <x:c r="G9" s="28" t="n">
        <x:f>-'Forecast'!F10</x:f>
        <x:v>235.85315658240012</x:v>
      </x:c>
      <x:c r="H9" s="36" t="n">
        <x:f>F9-G9</x:f>
        <x:v>-10.853156582400118</x:v>
      </x:c>
      <x:c r="I9" s="35" t="n">
        <x:v>730</x:v>
      </x:c>
      <x:c r="J9" s="28" t="n">
        <x:f>-'Forecast'!F15</x:f>
        <x:v>709.5054785</x:v>
      </x:c>
      <x:c r="K9" s="36" t="n">
        <x:f>I9-J9</x:f>
        <x:v>20.49452150000002</x:v>
      </x:c>
      <x:c r="L9" s="38" t="str"/>
      <x:c r="M9" s="16" t="str">
        <x:v>Learner</x:v>
      </x:c>
    </x:row>
    <x:row r="10">
      <x:c r="A10" s="19" t="n">
        <x:v>46174</x:v>
      </x:c>
      <x:c r="B10" s="35" t="n">
        <x:v>820</x:v>
      </x:c>
      <x:c r="C10" s="28" t="n">
        <x:f>'Forecast'!G9</x:f>
        <x:v>921.2229613184005</x:v>
      </x:c>
      <x:c r="D10" s="36" t="n">
        <x:f>B10-C10</x:f>
        <x:v>-101.22296131840051</x:v>
      </x:c>
      <x:c r="E10" s="37" t="n">
        <x:f>IF(B10=0,0,D10/B10)</x:f>
        <x:v>-0.12344263575414696</x:v>
      </x:c>
      <x:c r="F10" s="35" t="n">
        <x:v>245</x:v>
      </x:c>
      <x:c r="G10" s="28" t="n">
        <x:f>-'Forecast'!G10</x:f>
        <x:v>257.94242916915215</x:v>
      </x:c>
      <x:c r="H10" s="36" t="n">
        <x:f>F10-G10</x:f>
        <x:v>-12.942429169152149</x:v>
      </x:c>
      <x:c r="I10" s="35" t="n">
        <x:v>750</x:v>
      </x:c>
      <x:c r="J10" s="28" t="n">
        <x:f>-'Forecast'!G15</x:f>
        <x:v>725.379502003</x:v>
      </x:c>
      <x:c r="K10" s="36" t="n">
        <x:f>I10-J10</x:f>
        <x:v>24.62049799700003</x:v>
      </x:c>
      <x:c r="L10" s="38" t="str"/>
      <x:c r="M10" s="16" t="str">
        <x:v>Learner</x:v>
      </x:c>
    </x:row>
    <x:row r="11">
      <x:c r="A11" s="19" t="n">
        <x:v>46204</x:v>
      </x:c>
      <x:c r="B11" s="35" t="n">
        <x:v>900</x:v>
      </x:c>
      <x:c r="C11" s="28" t="n">
        <x:f>'Forecast'!H9</x:f>
        <x:v>1007.5748053624326</x:v>
      </x:c>
      <x:c r="D11" s="36" t="n">
        <x:f>B11-C11</x:f>
        <x:v>-107.57480536243258</x:v>
      </x:c>
      <x:c r="E11" s="37" t="n">
        <x:f>IF(B11=0,0,D11/B11)</x:f>
        <x:v>-0.11952756151381398</x:v>
      </x:c>
      <x:c r="F11" s="35" t="n">
        <x:v>270</x:v>
      </x:c>
      <x:c r="G11" s="28" t="n">
        <x:f>-'Forecast'!H10</x:f>
        <x:v>282.1209455014812</x:v>
      </x:c>
      <x:c r="H11" s="36" t="n">
        <x:f>F11-G11</x:f>
        <x:v>-12.120945501481174</x:v>
      </x:c>
      <x:c r="I11" s="35" t="n">
        <x:v>780</x:v>
      </x:c>
      <x:c r="J11" s="28" t="n">
        <x:f>-'Forecast'!H15</x:f>
        <x:v>741.6756348025701</x:v>
      </x:c>
      <x:c r="K11" s="36" t="n">
        <x:f>I11-J11</x:f>
        <x:v>38.32436519742987</x:v>
      </x:c>
      <x:c r="L11" s="38" t="str"/>
      <x:c r="M11" s="16" t="str">
        <x:v>Learner</x:v>
      </x:c>
    </x:row>
    <x:row r="12">
      <x:c r="A12" s="19" t="n">
        <x:v>46235</x:v>
      </x:c>
      <x:c r="B12" s="35" t="n">
        <x:v>970</x:v>
      </x:c>
      <x:c r="C12" s="28" t="n">
        <x:f>'Forecast'!I9</x:f>
        <x:v>1102.1001976486561</x:v>
      </x:c>
      <x:c r="D12" s="36" t="n">
        <x:f>B12-C12</x:f>
        <x:v>-132.10019764865615</x:v>
      </x:c>
      <x:c r="E12" s="37" t="n">
        <x:f>IF(B12=0,0,D12/B12)</x:f>
        <x:v>-0.13618577077181046</x:v>
      </x:c>
      <x:c r="F12" s="35" t="n">
        <x:v>290</x:v>
      </x:c>
      <x:c r="G12" s="28" t="n">
        <x:f>-'Forecast'!I10</x:f>
        <x:v>308.5880553416238</x:v>
      </x:c>
      <x:c r="H12" s="36" t="n">
        <x:f>F12-G12</x:f>
        <x:v>-18.58805534162377</x:v>
      </x:c>
      <x:c r="I12" s="35" t="n">
        <x:v>810</x:v>
      </x:c>
      <x:c r="J12" s="28" t="n">
        <x:f>-'Forecast'!I15</x:f>
        <x:v>758.4059990635219</x:v>
      </x:c>
      <x:c r="K12" s="36" t="n">
        <x:f>I12-J12</x:f>
        <x:v>51.594000936478096</x:v>
      </x:c>
      <x:c r="L12" s="38" t="str"/>
      <x:c r="M12" s="16" t="str">
        <x:v>Learner</x:v>
      </x:c>
    </x:row>
    <x:row r="13">
      <x:c r="A13" s="19" t="n">
        <x:v>46266</x:v>
      </x:c>
      <x:c r="B13" s="35" t="n">
        <x:v>1020</x:v>
      </x:c>
      <x:c r="C13" s="28" t="n">
        <x:f>'Forecast'!J9</x:f>
        <x:v>1205.5795621034042</x:v>
      </x:c>
      <x:c r="D13" s="36" t="n">
        <x:f>B13-C13</x:f>
        <x:v>-185.57956210340421</x:v>
      </x:c>
      <x:c r="E13" s="37" t="n">
        <x:f>IF(B13=0,0,D13/B13)</x:f>
        <x:v>-0.1819407471602002</x:v>
      </x:c>
      <x:c r="F13" s="35" t="n">
        <x:v>310</x:v>
      </x:c>
      <x:c r="G13" s="28" t="n">
        <x:f>-'Forecast'!J10</x:f>
        <x:v>337.5622773889532</x:v>
      </x:c>
      <x:c r="H13" s="36" t="n">
        <x:f>F13-G13</x:f>
        <x:v>-27.56227738895319</x:v>
      </x:c>
      <x:c r="I13" s="35" t="n">
        <x:v>840</x:v>
      </x:c>
      <x:c r="J13" s="28" t="n">
        <x:f>-'Forecast'!J15</x:f>
        <x:v>775.5830752044712</x:v>
      </x:c>
      <x:c r="K13" s="36" t="n">
        <x:f>I13-J13</x:f>
        <x:v>64.41692479552876</x:v>
      </x:c>
      <x:c r="L13" s="38" t="str"/>
      <x:c r="M13" s="16" t="str">
        <x:v>Learner</x:v>
      </x:c>
    </x:row>
    <x:row r="14">
      <x:c r="A14" s="19" t="n">
        <x:v>46296</x:v>
      </x:c>
      <x:c r="B14" s="35" t="n">
        <x:v>1080</x:v>
      </x:c>
      <x:c r="C14" s="28" t="n">
        <x:f>'Forecast'!K9</x:f>
        <x:v>1318.8684105788195</x:v>
      </x:c>
      <x:c r="D14" s="36" t="n">
        <x:f>B14-C14</x:f>
        <x:v>-238.86841057881952</x:v>
      </x:c>
      <x:c r="E14" s="37" t="n">
        <x:f>IF(B14=0,0,D14/B14)</x:f>
        <x:v>-0.2211744542396477</x:v>
      </x:c>
      <x:c r="F14" s="35" t="n">
        <x:v>330</x:v>
      </x:c>
      <x:c r="G14" s="28" t="n">
        <x:f>-'Forecast'!K10</x:f>
        <x:v>369.2831549620695</x:v>
      </x:c>
      <x:c r="H14" s="36" t="n">
        <x:f>F14-G14</x:f>
        <x:v>-39.28315496206949</x:v>
      </x:c>
      <x:c r="I14" s="35" t="n">
        <x:v>870</x:v>
      </x:c>
      <x:c r="J14" s="28" t="n">
        <x:f>-'Forecast'!K15</x:f>
        <x:v>793.2197125913393</x:v>
      </x:c>
      <x:c r="K14" s="36" t="n">
        <x:f>I14-J14</x:f>
        <x:v>76.78028740866068</x:v>
      </x:c>
      <x:c r="L14" s="38" t="str"/>
      <x:c r="M14" s="16" t="str">
        <x:v>Learner</x:v>
      </x:c>
    </x:row>
    <x:row r="15">
      <x:c r="A15" s="19" t="n">
        <x:v>46327</x:v>
      </x:c>
      <x:c r="B15" s="35" t="n">
        <x:v>1130</x:v>
      </x:c>
      <x:c r="C15" s="28" t="n">
        <x:f>'Forecast'!L9</x:f>
        <x:v>1442.9046152829821</x:v>
      </x:c>
      <x:c r="D15" s="36" t="n">
        <x:f>B15-C15</x:f>
        <x:v>-312.90461528298215</x:v>
      </x:c>
      <x:c r="E15" s="37" t="n">
        <x:f>IF(B15=0,0,D15/B15)</x:f>
        <x:v>-0.2769067391884798</x:v>
      </x:c>
      <x:c r="F15" s="35" t="n">
        <x:v>345</x:v>
      </x:c>
      <x:c r="G15" s="28" t="n">
        <x:f>-'Forecast'!L10</x:f>
        <x:v>404.01329227923503</x:v>
      </x:c>
      <x:c r="H15" s="36" t="n">
        <x:f>F15-G15</x:f>
        <x:v>-59.01329227923503</x:v>
      </x:c>
      <x:c r="I15" s="35" t="n">
        <x:v>900</x:v>
      </x:c>
      <x:c r="J15" s="28" t="n">
        <x:f>-'Forecast'!L15</x:f>
        <x:v>811.3291405511209</x:v>
      </x:c>
      <x:c r="K15" s="36" t="n">
        <x:f>I15-J15</x:f>
        <x:v>88.67085944887913</x:v>
      </x:c>
      <x:c r="L15" s="38" t="str"/>
      <x:c r="M15" s="16" t="str">
        <x:v>Learner</x:v>
      </x:c>
    </x:row>
    <x:row r="16">
      <x:c r="A16" s="19" t="n">
        <x:v>46357</x:v>
      </x:c>
      <x:c r="B16" s="35" t="n">
        <x:v>1200</x:v>
      </x:c>
      <x:c r="C16" s="28" t="n">
        <x:f>'Forecast'!M9</x:f>
        <x:v>1578.7163895492636</x:v>
      </x:c>
      <x:c r="D16" s="36" t="n">
        <x:f>B16-C16</x:f>
        <x:v>-378.71638954926357</x:v>
      </x:c>
      <x:c r="E16" s="37" t="n">
        <x:f>IF(B16=0,0,D16/B16)</x:f>
        <x:v>-0.31559699129105295</x:v>
      </x:c>
      <x:c r="F16" s="35" t="n">
        <x:v>365</x:v>
      </x:c>
      <x:c r="G16" s="28" t="n">
        <x:f>-'Forecast'!M10</x:f>
        <x:v>442.04058907379385</x:v>
      </x:c>
      <x:c r="H16" s="36" t="n">
        <x:f>F16-G16</x:f>
        <x:v>-77.04058907379385</x:v>
      </x:c>
      <x:c r="I16" s="35" t="n">
        <x:v>930</x:v>
      </x:c>
      <x:c r="J16" s="28" t="n">
        <x:f>-'Forecast'!M15</x:f>
        <x:v>829.9249797155162</x:v>
      </x:c>
      <x:c r="K16" s="36" t="n">
        <x:f>I16-J16</x:f>
        <x:v>100.0750202844838</x:v>
      </x:c>
      <x:c r="L16" s="38" t="str"/>
      <x:c r="M16" s="16" t="str">
        <x:v>Learner</x:v>
      </x:c>
    </x:row>
  </x:sheetData>
  <x:mergeCells>
    <x:mergeCell ref="A1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28.75" hidden="0" customWidth="1"/>
  </x:cols>
  <x:sheetData>
    <x:row r="1" ht="26" customHeight="1">
      <x:c r="A1" s="3" t="str">
        <x:v>Checks</x:v>
      </x:c>
      <x:c r="B1" s="3" t="str">
        <x:v>Checks</x:v>
      </x:c>
      <x:c r="C1" s="3" t="str">
        <x:v>Checks</x:v>
      </x:c>
      <x:c r="D1" s="3" t="str">
        <x:v>Checks</x:v>
      </x:c>
      <x:c r="E1" s="3" t="str">
        <x:v>Checks</x:v>
      </x:c>
      <x:c r="F1" s="3" t="str">
        <x:v>Checks</x:v>
      </x:c>
      <x:c r="G1" s="3" t="str">
        <x:v>Checks</x:v>
      </x:c>
    </x:row>
    <x:row r="2" ht="26" customHeight="1">
      <x:c r="A2" s="3" t="str">
        <x:v>Checks</x:v>
      </x:c>
      <x:c r="B2" s="3" t="str">
        <x:v>Checks</x:v>
      </x:c>
      <x:c r="C2" s="3" t="str">
        <x:v>Checks</x:v>
      </x:c>
      <x:c r="D2" s="3" t="str">
        <x:v>Checks</x:v>
      </x:c>
      <x:c r="E2" s="3" t="str">
        <x:v>Checks</x:v>
      </x:c>
      <x:c r="F2" s="3" t="str">
        <x:v>Checks</x:v>
      </x:c>
      <x:c r="G2" s="3" t="str">
        <x:v>Checks</x:v>
      </x:c>
    </x:row>
    <x:row r="4">
      <x:c r="A4" s="12" t="str">
        <x:v>Check</x:v>
      </x:c>
      <x:c r="B4" s="13" t="str">
        <x:v>Actual</x:v>
      </x:c>
      <x:c r="C4" s="13" t="str">
        <x:v>Expected</x:v>
      </x:c>
      <x:c r="D4" s="13" t="str">
        <x:v>Difference</x:v>
      </x:c>
      <x:c r="E4" s="13" t="str">
        <x:v>Tolerance</x:v>
      </x:c>
      <x:c r="F4" s="13" t="str">
        <x:v>Status</x:v>
      </x:c>
      <x:c r="G4" s="14" t="str">
        <x:v>Where to fix</x:v>
      </x:c>
    </x:row>
    <x:row r="5">
      <x:c r="A5" t="str">
        <x:v>Scenario selector valid</x:v>
      </x:c>
      <x:c r="B5" t="n">
        <x:f>COUNTIF('Scenarios'!A5:A7,'Assumptions'!B5)</x:f>
        <x:v>1</x:v>
      </x:c>
      <x:c r="C5" t="n">
        <x:v>1</x:v>
      </x:c>
      <x:c r="D5" t="n">
        <x:f>B5-C5</x:f>
        <x:v>0</x:v>
      </x:c>
      <x:c r="E5" t="n">
        <x:v>0</x:v>
      </x:c>
      <x:c r="F5" t="str">
        <x:f>IF(B5=1,"OK","FAIL")</x:f>
        <x:v>OK</x:v>
      </x:c>
      <x:c r="G5" t="str">
        <x:v>Assumptions B5</x:v>
      </x:c>
    </x:row>
    <x:row r="6">
      <x:c r="A6" t="str">
        <x:v>Revenue components tie final month</x:v>
      </x:c>
      <x:c r="B6" t="n">
        <x:f>'Forecast'!Y9</x:f>
        <x:v>4670.703622156772</x:v>
      </x:c>
      <x:c r="C6" t="n">
        <x:f>SUM('Forecast'!Y6:Y8)</x:f>
        <x:v>4670.703622156772</x:v>
      </x:c>
      <x:c r="D6" t="n">
        <x:f>B6-C6</x:f>
        <x:v>0</x:v>
      </x:c>
      <x:c r="E6" t="n">
        <x:v>0.01</x:v>
      </x:c>
      <x:c r="F6" t="str">
        <x:f>IF(ABS(D6)&lt;=E6,"OK","FAIL")</x:f>
        <x:v>OK</x:v>
      </x:c>
      <x:c r="G6" t="str">
        <x:v>Forecast rows 6:9</x:v>
      </x:c>
    </x:row>
    <x:row r="7">
      <x:c r="A7" t="str">
        <x:v>Gross profit ties final month</x:v>
      </x:c>
      <x:c r="B7" t="n">
        <x:f>'Forecast'!Y11</x:f>
        <x:v>3362.9066079528757</x:v>
      </x:c>
      <x:c r="C7" t="n">
        <x:f>SUM('Forecast'!Y9:Y10)</x:f>
        <x:v>3362.9066079528757</x:v>
      </x:c>
      <x:c r="D7" t="n">
        <x:f>B7-C7</x:f>
        <x:v>0</x:v>
      </x:c>
      <x:c r="E7" t="n">
        <x:v>0.01</x:v>
      </x:c>
      <x:c r="F7" t="str">
        <x:f>IF(ABS(D7)&lt;=E7,"OK","FAIL")</x:f>
        <x:v>OK</x:v>
      </x:c>
      <x:c r="G7" t="str">
        <x:v>Forecast rows 9:11</x:v>
      </x:c>
    </x:row>
    <x:row r="8">
      <x:c r="A8" t="str">
        <x:v>Ending cash roll-forward ties</x:v>
      </x:c>
      <x:c r="B8" t="n">
        <x:f>'Forecast'!Y21</x:f>
        <x:v>24031.13807331951</x:v>
      </x:c>
      <x:c r="C8" t="n">
        <x:f>'Assumptions'!B16+SUM('Forecast'!B19:Y19)</x:f>
        <x:v>24031.138073319504</x:v>
      </x:c>
      <x:c r="D8" t="n">
        <x:f>B8-C8</x:f>
        <x:v>7.275957614183426e-12</x:v>
      </x:c>
      <x:c r="E8" t="n">
        <x:v>0.01</x:v>
      </x:c>
      <x:c r="F8" t="str">
        <x:f>IF(ABS(D8)&lt;=E8,"OK","FAIL")</x:f>
        <x:v>OK</x:v>
      </x:c>
      <x:c r="G8" t="str">
        <x:v>Forecast rows 19:21</x:v>
      </x:c>
    </x:row>
    <x:row r="9">
      <x:c r="A9" t="str">
        <x:v>MODEL STATUS</x:v>
      </x:c>
      <x:c r="F9" t="str">
        <x:f>IF(COUNTIF(F5:F8,"FAIL")=0,"PASS","FAIL")</x:f>
        <x:v>PASS</x:v>
      </x:c>
      <x:c r="G9" t="str">
        <x:v>All checks</x:v>
      </x:c>
    </x:row>
  </x:sheetData>
  <x:mergeCells>
    <x:mergeCell ref="A1:G2"/>
  </x:mergeCells>
  <x:conditionalFormatting sqref="F5:F9">
    <x:cfRule type="containsText" dxfId="0" priority="1" operator="containsText" text="OK"/>
    <x:cfRule type="containsText" dxfId="1" priority="2" operator="containsText" text="PASS"/>
    <x:cfRule type="containsText" dxfId="2" priority="3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6" max="6" width="22.5" hidden="0" customWidth="1"/>
    <x:col min="7" max="7" width="45" hidden="0" customWidth="1"/>
    <x:col min="9" max="9" width="22.5" hidden="0" customWidth="1"/>
    <x:col min="3" max="3" width="13.75" hidden="0" customWidth="1"/>
    <x:col min="4" max="4" width="13.75" hidden="0" customWidth="1"/>
    <x:col min="5" max="5" width="13.75" hidden="0" customWidth="1"/>
    <x:col min="8" max="8" width="13.75" hidden="0" customWidth="1"/>
    <x:col min="10" max="10" width="13.75" hidden="0" customWidth="1"/>
  </x:cols>
  <x:sheetData>
    <x:row r="1" ht="26" customHeight="1">
      <x:c r="A1" s="3" t="str">
        <x:v>Sources / Audit</x:v>
      </x:c>
      <x:c r="B1" s="3" t="str">
        <x:v>Sources / Audit</x:v>
      </x:c>
      <x:c r="C1" s="3" t="str">
        <x:v>Sources / Audit</x:v>
      </x:c>
      <x:c r="D1" s="3" t="str">
        <x:v>Sources / Audit</x:v>
      </x:c>
      <x:c r="E1" s="3" t="str">
        <x:v>Sources / Audit</x:v>
      </x:c>
      <x:c r="F1" s="3" t="str">
        <x:v>Sources / Audit</x:v>
      </x:c>
      <x:c r="G1" s="3" t="str">
        <x:v>Sources / Audit</x:v>
      </x:c>
      <x:c r="H1" s="3" t="str">
        <x:v>Sources / Audit</x:v>
      </x:c>
      <x:c r="I1" s="3" t="str">
        <x:v>Sources / Audit</x:v>
      </x:c>
      <x:c r="J1" s="3" t="str">
        <x:v>Sources / Audit</x:v>
      </x:c>
    </x:row>
    <x:row r="2" ht="26" customHeight="1">
      <x:c r="A2" s="3" t="str">
        <x:v>Sources / Audit</x:v>
      </x:c>
      <x:c r="B2" s="3" t="str">
        <x:v>Sources / Audit</x:v>
      </x:c>
      <x:c r="C2" s="3" t="str">
        <x:v>Sources / Audit</x:v>
      </x:c>
      <x:c r="D2" s="3" t="str">
        <x:v>Sources / Audit</x:v>
      </x:c>
      <x:c r="E2" s="3" t="str">
        <x:v>Sources / Audit</x:v>
      </x:c>
      <x:c r="F2" s="3" t="str">
        <x:v>Sources / Audit</x:v>
      </x:c>
      <x:c r="G2" s="3" t="str">
        <x:v>Sources / Audit</x:v>
      </x:c>
      <x:c r="H2" s="3" t="str">
        <x:v>Sources / Audit</x:v>
      </x:c>
      <x:c r="I2" s="3" t="str">
        <x:v>Sources / Audit</x:v>
      </x:c>
      <x:c r="J2" s="3" t="str">
        <x:v>Sources / Audit</x:v>
      </x:c>
    </x:row>
    <x:row r="4">
      <x:c r="A4" s="12" t="str">
        <x:v>Item</x:v>
      </x:c>
      <x:c r="B4" s="13" t="str">
        <x:v>Value</x:v>
      </x:c>
      <x:c r="C4" s="13" t="str">
        <x:v>Units</x:v>
      </x:c>
      <x:c r="D4" s="13" t="str">
        <x:v>Period / as-of</x:v>
      </x:c>
      <x:c r="E4" s="13" t="str">
        <x:v>Source type</x:v>
      </x:c>
      <x:c r="F4" s="13" t="str">
        <x:v>Source name</x:v>
      </x:c>
      <x:c r="G4" s="13" t="str">
        <x:v>URL</x:v>
      </x:c>
      <x:c r="H4" s="13" t="str">
        <x:v>Owner</x:v>
      </x:c>
      <x:c r="I4" s="13" t="str">
        <x:v>Notes</x:v>
      </x:c>
      <x:c r="J4" s="14" t="str">
        <x:v>Accessed</x:v>
      </x:c>
    </x:row>
    <x:row r="5">
      <x:c r="A5" s="6" t="str">
        <x:v>Scenario</x:v>
      </x:c>
      <x:c r="B5" s="6" t="str">
        <x:v>All financial inputs</x:v>
      </x:c>
      <x:c r="C5" s="6" t="str">
        <x:v>BRL k</x:v>
      </x:c>
      <x:c r="D5" s="6" t="str">
        <x:v>2026-2027</x:v>
      </x:c>
      <x:c r="E5" s="6" t="str">
        <x:v>Synthetic</x:v>
      </x:c>
      <x:c r="F5" s="6" t="str">
        <x:v>M1 teaching case</x:v>
      </x:c>
      <x:c r="G5" s="6" t="str"/>
      <x:c r="H5" s="6" t="str">
        <x:v>Learner</x:v>
      </x:c>
      <x:c r="I5" s="6" t="str">
        <x:v>Not target-company economics</x:v>
      </x:c>
      <x:c r="J5" s="6" t="str">
        <x:v>2026-07-23</x:v>
      </x:c>
    </x:row>
    <x:row r="6">
      <x:c r="A6" s="6" t="str">
        <x:v>Consumption model comparison</x:v>
      </x:c>
      <x:c r="B6" s="6" t="str">
        <x:v>Snowflake FY2026 10-K</x:v>
      </x:c>
      <x:c r="C6" s="6" t="str">
        <x:v>USD mm</x:v>
      </x:c>
      <x:c r="D6" s="6" t="str">
        <x:v>2026-01-31</x:v>
      </x:c>
      <x:c r="E6" s="6" t="str">
        <x:v>T0</x:v>
      </x:c>
      <x:c r="F6" s="6" t="str">
        <x:v>SEC EDGAR</x:v>
      </x:c>
      <x:c r="G6" s="6" t="str">
        <x:v>https://www.sec.gov/Archives/edgar/data/1640147/000164014726000008/snow-20260131.htm</x:v>
      </x:c>
      <x:c r="H6" s="6" t="str">
        <x:v>Program</x:v>
      </x:c>
      <x:c r="I6" s="6" t="str">
        <x:v>Conceptual comparison only</x:v>
      </x:c>
      <x:c r="J6" s="6" t="str">
        <x:v>2026-07-23</x:v>
      </x:c>
    </x:row>
    <x:row r="7">
      <x:c r="A7" s="6" t="str">
        <x:v>FX reference</x:v>
      </x:c>
      <x:c r="B7" s="6" t="str">
        <x:v>Official exchange-rate resources</x:v>
      </x:c>
      <x:c r="C7" s="6" t="str">
        <x:v>various</x:v>
      </x:c>
      <x:c r="D7" s="6" t="str">
        <x:v>current</x:v>
      </x:c>
      <x:c r="E7" s="6" t="str">
        <x:v>T0</x:v>
      </x:c>
      <x:c r="F7" s="6" t="str">
        <x:v>Banco Central do Brasil</x:v>
      </x:c>
      <x:c r="G7" s="6" t="str">
        <x:v>https://www.bcb.gov.br/estabilidadefinanceira/cambioecapitais</x:v>
      </x:c>
      <x:c r="H7" s="6" t="str">
        <x:v>Learner</x:v>
      </x:c>
      <x:c r="I7" s="6" t="str">
        <x:v>Use actual deal rate for real model</x:v>
      </x:c>
      <x:c r="J7" s="6" t="str">
        <x:v>2026-07-23</x:v>
      </x:c>
    </x:row>
  </x:sheetData>
  <x:mergeCells>
    <x:mergeCell ref="A1:J2"/>
  </x:mergeCells>
  <x:pageMargins left="0.7" right="0.7" top="0.75" bottom="0.75" header="0.3" footer="0.3"/>
</x:worksheet>
</file>