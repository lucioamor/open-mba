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6b321cdcea4e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c93d9e574f0d45c5"/>
    <x:sheet xmlns:r="http://schemas.openxmlformats.org/officeDocument/2006/relationships" name="Assumptions" sheetId="2" r:id="R1adee7b2f12c4538"/>
    <x:sheet xmlns:r="http://schemas.openxmlformats.org/officeDocument/2006/relationships" name="Income Statement" sheetId="3" r:id="R6546450f2c394a40"/>
    <x:sheet xmlns:r="http://schemas.openxmlformats.org/officeDocument/2006/relationships" name="Balance Sheet" sheetId="4" r:id="R48b6c9105875462f"/>
    <x:sheet xmlns:r="http://schemas.openxmlformats.org/officeDocument/2006/relationships" name="Cash Flow" sheetId="5" r:id="R074c0641d6f84cde"/>
    <x:sheet xmlns:r="http://schemas.openxmlformats.org/officeDocument/2006/relationships" name="Checks" sheetId="6" r:id="R02cb0053cf8e4798"/>
    <x:sheet xmlns:r="http://schemas.openxmlformats.org/officeDocument/2006/relationships" name="Sources" sheetId="7" r:id="R1530fcddd9ce44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;[Red](#,##0.0);-"/>
    <x:numFmt numFmtId="201" formatCode="0.0%"/>
    <x:numFmt numFmtId="202" formatCode="#,##0.0"/>
    <x:numFmt numFmtId="203" formatCode="mmm-yy"/>
    <x:numFmt numFmtId="204" formatCode="#,##0.00;[Red](#,##0.00);-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9C0006"/>
      <x:name val="Carlito"/>
    </x:font>
    <x:font>
      <x:b/>
      <x:sz val="11"/>
      <x:color rgb="FF1F1F1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b/>
      <x:sz val="11"/>
      <x:color rgb="FF000000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F3F4F6"/>
      </x:patternFill>
    </x:fill>
  </x:fills>
  <x:borders count="11">
    <x:border/>
    <x:border>
      <x:left style="thin">
        <x:color rgb="FFD9D9D9"/>
      </x:left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top style="thin">
        <x:color rgb="FF7F7F7F"/>
      </x:top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5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7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0" fontId="5" fillId="6" borderId="0" xfId="0" applyNumberFormat="1" applyFont="1" applyFill="1" applyBorder="1"/>
    <x:xf numFmtId="201" fontId="5" fillId="6" borderId="0" xfId="0" applyNumberFormat="1" applyFont="1" applyFill="1" applyBorder="1"/>
    <x:xf numFmtId="0" fontId="5" fillId="0" borderId="0" xfId="0" applyNumberFormat="1" applyFont="1" applyFill="1" applyBorder="1"/>
    <x:xf numFmtId="0" fontId="5" fillId="6" borderId="0" xfId="0" applyNumberFormat="1" applyFont="1" applyFill="1" applyBorder="1"/>
    <x:xf numFmtId="202" fontId="5" fillId="6" borderId="0" xfId="0" applyNumberFormat="1" applyFont="1" applyFill="1" applyBorder="1"/>
    <x:xf numFmtId="0" fontId="0" fillId="3" borderId="0" xfId="0" applyNumberFormat="1" applyFont="1" applyFill="1" applyBorder="1"/>
    <x:xf numFmtId="203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horizontal="right"/>
    </x:xf>
    <x:xf numFmtId="203" fontId="0" fillId="5" borderId="0" xfId="0" applyNumberFormat="1" applyFont="1" applyFill="1" applyBorder="1" applyAlignment="1">
      <x:alignment horizontal="right"/>
    </x:xf>
    <x:xf numFmtId="203" fontId="4" fillId="5" borderId="0" xfId="0" applyNumberFormat="1" applyFont="1" applyFill="1" applyBorder="1" applyAlignment="1">
      <x:alignment horizontal="right"/>
    </x:xf>
    <x:xf numFmtId="203" fontId="4" fillId="5" borderId="8" xfId="0" applyNumberFormat="1" applyFont="1" applyFill="1" applyBorder="1" applyAlignment="1">
      <x:alignment horizontal="right"/>
    </x:xf>
    <x:xf numFmtId="203" fontId="4" fillId="5" borderId="9" xfId="0" applyNumberFormat="1" applyFont="1" applyFill="1" applyBorder="1" applyAlignment="1">
      <x:alignment horizontal="right"/>
    </x:xf>
    <x:xf numFmtId="203" fontId="4" fillId="5" borderId="8" xfId="0" applyNumberFormat="1" applyFont="1" applyFill="1" applyBorder="1" applyAlignment="1">
      <x:alignment horizontal="right" vertical="center"/>
    </x:xf>
    <x:xf numFmtId="203" fontId="4" fillId="5" borderId="9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left"/>
    </x:xf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left"/>
    </x:xf>
    <x:xf numFmtId="200" fontId="8" fillId="0" borderId="0" xfId="0" applyNumberFormat="1" applyFont="1" applyFill="1" applyBorder="1"/>
    <x:xf numFmtId="0" fontId="8" fillId="0" borderId="10" xfId="0" applyNumberFormat="1" applyFont="1" applyFill="1" applyBorder="1" applyAlignment="1">
      <x:alignment horizontal="left"/>
    </x:xf>
    <x:xf numFmtId="200" fontId="8" fillId="0" borderId="10" xfId="0" applyNumberFormat="1" applyFont="1" applyFill="1" applyBorder="1"/>
    <x:xf numFmtId="0" fontId="8" fillId="0" borderId="0" xfId="0" applyNumberFormat="1" applyFont="1" applyFill="1" applyBorder="1"/>
    <x:xf numFmtId="0" fontId="8" fillId="0" borderId="10" xfId="0" applyNumberFormat="1" applyFont="1" applyFill="1" applyBorder="1"/>
    <x:xf numFmtId="0" fontId="0" fillId="7" borderId="0" xfId="0" applyNumberFormat="1" applyFont="1" applyFill="1" applyBorder="1"/>
    <x:xf numFmtId="200" fontId="7" fillId="7" borderId="0" xfId="0" applyNumberFormat="1" applyFont="1" applyFill="1" applyBorder="1"/>
    <x:xf numFmtId="200" fontId="6" fillId="0" borderId="0" xfId="0" applyNumberFormat="1" applyFont="1" applyFill="1" applyBorder="1"/>
    <x:xf numFmtId="204" fontId="0" fillId="0" borderId="0" xfId="0" applyNumberFormat="1" applyFont="1" applyFill="1" applyBorder="1"/>
    <x:xf numFmtId="0" fontId="9" fillId="0" borderId="0" xfId="0" applyNumberFormat="1" applyFont="1" applyFill="1" applyBorder="1"/>
    <x:xf numFmtId="0" fontId="9" fillId="3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d89ea0a8c54c64" /><Relationship Type="http://schemas.openxmlformats.org/officeDocument/2006/relationships/theme" Target="/xl/theme/theme1.xml" Id="R2abcb1722fea4160" /><Relationship Type="http://schemas.openxmlformats.org/officeDocument/2006/relationships/sharedStrings" Target="/xl/sharedStrings.xml" Id="R7b76b92e477049a7" /><Relationship Type="http://schemas.openxmlformats.org/officeDocument/2006/relationships/worksheet" Target="/xl/worksheets/sheet1.xml" Id="Rc93d9e574f0d45c5" /><Relationship Type="http://schemas.openxmlformats.org/officeDocument/2006/relationships/worksheet" Target="/xl/worksheets/sheet2.xml" Id="R1adee7b2f12c4538" /><Relationship Type="http://schemas.openxmlformats.org/officeDocument/2006/relationships/worksheet" Target="/xl/worksheets/sheet3.xml" Id="R6546450f2c394a40" /><Relationship Type="http://schemas.openxmlformats.org/officeDocument/2006/relationships/worksheet" Target="/xl/worksheets/sheet4.xml" Id="R48b6c9105875462f" /><Relationship Type="http://schemas.openxmlformats.org/officeDocument/2006/relationships/worksheet" Target="/xl/worksheets/sheet5.xml" Id="R074c0641d6f84cde" /><Relationship Type="http://schemas.openxmlformats.org/officeDocument/2006/relationships/worksheet" Target="/xl/worksheets/sheet6.xml" Id="R02cb0053cf8e4798" /><Relationship Type="http://schemas.openxmlformats.org/officeDocument/2006/relationships/worksheet" Target="/xl/worksheets/sheet7.xml" Id="R1530fcddd9ce44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5" hidden="0" customWidth="1"/>
  </x:cols>
  <x:sheetData>
    <x:row r="1" ht="26" customHeight="1">
      <x:c r="A1" s="3" t="str">
        <x:v>Modelo Integrado de Três Demonstrações — Atlas AI Brasil</x:v>
      </x:c>
      <x:c r="B1" s="3" t="str">
        <x:v>Modelo Integrado de Três Demonstrações — Atlas AI Brasil</x:v>
      </x:c>
      <x:c r="C1" s="3" t="str">
        <x:v>Modelo Integrado de Três Demonstrações — Atlas AI Brasil</x:v>
      </x:c>
      <x:c r="D1" s="3" t="str">
        <x:v>Modelo Integrado de Três Demonstrações — Atlas AI Brasil</x:v>
      </x:c>
      <x:c r="E1" s="3" t="str">
        <x:v>Modelo Integrado de Três Demonstrações — Atlas AI Brasil</x:v>
      </x:c>
      <x:c r="F1" s="3" t="str">
        <x:v>Modelo Integrado de Três Demonstrações — Atlas AI Brasil</x:v>
      </x:c>
      <x:c r="G1" s="3" t="str">
        <x:v>Modelo Integrado de Três Demonstrações — Atlas AI Brasil</x:v>
      </x:c>
      <x:c r="H1" s="3" t="str">
        <x:v>Modelo Integrado de Três Demonstrações — Atlas AI Brasil</x:v>
      </x:c>
    </x:row>
    <x:row r="2" ht="26" customHeight="1">
      <x:c r="A2" s="3" t="str">
        <x:v>Modelo Integrado de Três Demonstrações — Atlas AI Brasil</x:v>
      </x:c>
      <x:c r="B2" s="3" t="str">
        <x:v>Modelo Integrado de Três Demonstrações — Atlas AI Brasil</x:v>
      </x:c>
      <x:c r="C2" s="3" t="str">
        <x:v>Modelo Integrado de Três Demonstrações — Atlas AI Brasil</x:v>
      </x:c>
      <x:c r="D2" s="3" t="str">
        <x:v>Modelo Integrado de Três Demonstrações — Atlas AI Brasil</x:v>
      </x:c>
      <x:c r="E2" s="3" t="str">
        <x:v>Modelo Integrado de Três Demonstrações — Atlas AI Brasil</x:v>
      </x:c>
      <x:c r="F2" s="3" t="str">
        <x:v>Modelo Integrado de Três Demonstrações — Atlas AI Brasil</x:v>
      </x:c>
      <x:c r="G2" s="3" t="str">
        <x:v>Modelo Integrado de Três Demonstrações — Atlas AI Brasil</x:v>
      </x:c>
      <x:c r="H2" s="3" t="str">
        <x:v>Modelo Integrado de Três Demonstrações — Atlas AI Brasil</x:v>
      </x:c>
    </x:row>
    <x:row r="4">
      <x:c r="A4" s="12" t="str">
        <x:v>Purpose</x:v>
      </x:c>
      <x:c r="B4" s="7" t="str">
        <x:v>Template educacional para conectar P&amp;L, balanço e caixa em 24 meses.</x:v>
      </x:c>
    </x:row>
    <x:row r="5">
      <x:c r="A5" s="13" t="str">
        <x:v>Version</x:v>
      </x:c>
      <x:c r="B5" s="9" t="str">
        <x:v>1.0</x:v>
      </x:c>
    </x:row>
    <x:row r="6">
      <x:c r="A6" s="13" t="str">
        <x:v>As of</x:v>
      </x:c>
      <x:c r="B6" s="9" t="str">
        <x:v>2026-07-23</x:v>
      </x:c>
    </x:row>
    <x:row r="7">
      <x:c r="A7" s="13" t="str">
        <x:v>Currency / scale</x:v>
      </x:c>
      <x:c r="B7" s="9" t="str">
        <x:v>BRL thousands</x:v>
      </x:c>
    </x:row>
    <x:row r="8">
      <x:c r="A8" s="13" t="str">
        <x:v>Forecast</x:v>
      </x:c>
      <x:c r="B8" s="9" t="str">
        <x:v>Jan-2026 to Dec-2027, monthly</x:v>
      </x:c>
    </x:row>
    <x:row r="9">
      <x:c r="A9" s="13" t="str">
        <x:v>Scenario</x:v>
      </x:c>
      <x:c r="B9" s="9" t="str">
        <x:v>Synthetic teaching case; not a real company forecast.</x:v>
      </x:c>
    </x:row>
    <x:row r="10">
      <x:c r="A10" s="13" t="str">
        <x:v>Color convention</x:v>
      </x:c>
      <x:c r="B10" s="9" t="str">
        <x:v>Blue font = input; black = formula; green = cross-sheet link.</x:v>
      </x:c>
    </x:row>
    <x:row r="11">
      <x:c r="A11" s="13" t="str">
        <x:v>Model status</x:v>
      </x:c>
      <x:c r="B11" s="9" t="str">
        <x:v>See Checks sheet. PASS means structural checks only.</x:v>
      </x:c>
    </x:row>
    <x:row r="12">
      <x:c r="A12" s="14" t="str">
        <x:v>Use</x:v>
      </x:c>
      <x:c r="B12" s="11" t="str">
        <x:v>Personal, private and non-commercial.</x:v>
      </x:c>
    </x:row>
    <x:row r="14">
      <x:c r="A14" s="17" t="str">
        <x:v>WARNING: tax, revenue recognition and FX mechanics are simplified management assumptions. Real use requires controller, CFO and local tax/legal review.</x:v>
      </x:c>
      <x:c r="B14" s="17" t="str">
        <x:v>WARNING: tax, revenue recognition and FX mechanics are simplified management assumptions. Real use requires controller, CFO and local tax/legal review.</x:v>
      </x:c>
      <x:c r="C14" s="17" t="str">
        <x:v>WARNING: tax, revenue recognition and FX mechanics are simplified management assumptions. Real use requires controller, CFO and local tax/legal review.</x:v>
      </x:c>
      <x:c r="D14" s="17" t="str">
        <x:v>WARNING: tax, revenue recognition and FX mechanics are simplified management assumptions. Real use requires controller, CFO and local tax/legal review.</x:v>
      </x:c>
      <x:c r="E14" s="17" t="str">
        <x:v>WARNING: tax, revenue recognition and FX mechanics are simplified management assumptions. Real use requires controller, CFO and local tax/legal review.</x:v>
      </x:c>
      <x:c r="F14" s="17" t="str">
        <x:v>WARNING: tax, revenue recognition and FX mechanics are simplified management assumptions. Real use requires controller, CFO and local tax/legal review.</x:v>
      </x:c>
      <x:c r="G14" s="17" t="str">
        <x:v>WARNING: tax, revenue recognition and FX mechanics are simplified management assumptions. Real use requires controller, CFO and local tax/legal review.</x:v>
      </x:c>
      <x:c r="H14" s="17" t="str">
        <x:v>WARNING: tax, revenue recognition and FX mechanics are simplified management assumptions. Real use requires controller, CFO and local tax/legal review.</x:v>
      </x:c>
    </x:row>
    <x:row r="15">
      <x:c r="A15" s="17" t="str">
        <x:v>WARNING: tax, revenue recognition and FX mechanics are simplified management assumptions. Real use requires controller, CFO and local tax/legal review.</x:v>
      </x:c>
      <x:c r="B15" s="17" t="str">
        <x:v>WARNING: tax, revenue recognition and FX mechanics are simplified management assumptions. Real use requires controller, CFO and local tax/legal review.</x:v>
      </x:c>
      <x:c r="C15" s="17" t="str">
        <x:v>WARNING: tax, revenue recognition and FX mechanics are simplified management assumptions. Real use requires controller, CFO and local tax/legal review.</x:v>
      </x:c>
      <x:c r="D15" s="17" t="str">
        <x:v>WARNING: tax, revenue recognition and FX mechanics are simplified management assumptions. Real use requires controller, CFO and local tax/legal review.</x:v>
      </x:c>
      <x:c r="E15" s="17" t="str">
        <x:v>WARNING: tax, revenue recognition and FX mechanics are simplified management assumptions. Real use requires controller, CFO and local tax/legal review.</x:v>
      </x:c>
      <x:c r="F15" s="17" t="str">
        <x:v>WARNING: tax, revenue recognition and FX mechanics are simplified management assumptions. Real use requires controller, CFO and local tax/legal review.</x:v>
      </x:c>
      <x:c r="G15" s="17" t="str">
        <x:v>WARNING: tax, revenue recognition and FX mechanics are simplified management assumptions. Real use requires controller, CFO and local tax/legal review.</x:v>
      </x:c>
      <x:c r="H15" s="17" t="str">
        <x:v>WARNING: tax, revenue recognition and FX mechanics are simplified management assumptions. Real use requires controller, CFO and local tax/legal review.</x:v>
      </x:c>
    </x:row>
    <x:row r="16">
      <x:c r="A16" s="17" t="str">
        <x:v>WARNING: tax, revenue recognition and FX mechanics are simplified management assumptions. Real use requires controller, CFO and local tax/legal review.</x:v>
      </x:c>
      <x:c r="B16" s="17" t="str">
        <x:v>WARNING: tax, revenue recognition and FX mechanics are simplified management assumptions. Real use requires controller, CFO and local tax/legal review.</x:v>
      </x:c>
      <x:c r="C16" s="17" t="str">
        <x:v>WARNING: tax, revenue recognition and FX mechanics are simplified management assumptions. Real use requires controller, CFO and local tax/legal review.</x:v>
      </x:c>
      <x:c r="D16" s="17" t="str">
        <x:v>WARNING: tax, revenue recognition and FX mechanics are simplified management assumptions. Real use requires controller, CFO and local tax/legal review.</x:v>
      </x:c>
      <x:c r="E16" s="17" t="str">
        <x:v>WARNING: tax, revenue recognition and FX mechanics are simplified management assumptions. Real use requires controller, CFO and local tax/legal review.</x:v>
      </x:c>
      <x:c r="F16" s="17" t="str">
        <x:v>WARNING: tax, revenue recognition and FX mechanics are simplified management assumptions. Real use requires controller, CFO and local tax/legal review.</x:v>
      </x:c>
      <x:c r="G16" s="17" t="str">
        <x:v>WARNING: tax, revenue recognition and FX mechanics are simplified management assumptions. Real use requires controller, CFO and local tax/legal review.</x:v>
      </x:c>
      <x:c r="H16" s="17" t="str">
        <x:v>WARNING: tax, revenue recognition and FX mechanics are simplified management assumptions. Real use requires controller, CFO and local tax/legal review.</x:v>
      </x:c>
    </x:row>
    <x:row r="17">
      <x:c r="A17" s="17" t="str">
        <x:v>WARNING: tax, revenue recognition and FX mechanics are simplified management assumptions. Real use requires controller, CFO and local tax/legal review.</x:v>
      </x:c>
      <x:c r="B17" s="17" t="str">
        <x:v>WARNING: tax, revenue recognition and FX mechanics are simplified management assumptions. Real use requires controller, CFO and local tax/legal review.</x:v>
      </x:c>
      <x:c r="C17" s="17" t="str">
        <x:v>WARNING: tax, revenue recognition and FX mechanics are simplified management assumptions. Real use requires controller, CFO and local tax/legal review.</x:v>
      </x:c>
      <x:c r="D17" s="17" t="str">
        <x:v>WARNING: tax, revenue recognition and FX mechanics are simplified management assumptions. Real use requires controller, CFO and local tax/legal review.</x:v>
      </x:c>
      <x:c r="E17" s="17" t="str">
        <x:v>WARNING: tax, revenue recognition and FX mechanics are simplified management assumptions. Real use requires controller, CFO and local tax/legal review.</x:v>
      </x:c>
      <x:c r="F17" s="17" t="str">
        <x:v>WARNING: tax, revenue recognition and FX mechanics are simplified management assumptions. Real use requires controller, CFO and local tax/legal review.</x:v>
      </x:c>
      <x:c r="G17" s="17" t="str">
        <x:v>WARNING: tax, revenue recognition and FX mechanics are simplified management assumptions. Real use requires controller, CFO and local tax/legal review.</x:v>
      </x:c>
      <x:c r="H17" s="17" t="str">
        <x:v>WARNING: tax, revenue recognition and FX mechanics are simplified management assumptions. Real use requires controller, CFO and local tax/legal review.</x:v>
      </x:c>
    </x:row>
  </x:sheetData>
  <x:mergeCells>
    <x:mergeCell ref="A1:H2"/>
    <x:mergeCell ref="A14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.25" hidden="0" customWidth="1"/>
    <x:col min="2" max="2" width="13.75" hidden="0" customWidth="1"/>
    <x:col min="3" max="3" width="28.75" hidden="0" customWidth="1"/>
    <x:col min="4" max="4" width="40" hidden="0" customWidth="1"/>
  </x:cols>
  <x:sheetData>
    <x:row r="1" ht="26" customHeight="1">
      <x:c r="A1" s="3" t="str">
        <x:v>Assumptions</x:v>
      </x:c>
      <x:c r="B1" s="3" t="str">
        <x:v>Assumptions</x:v>
      </x:c>
      <x:c r="C1" s="3" t="str">
        <x:v>Assumptions</x:v>
      </x:c>
      <x:c r="D1" s="3" t="str">
        <x:v>Assumptions</x:v>
      </x:c>
    </x:row>
    <x:row r="2" ht="26" customHeight="1">
      <x:c r="A2" s="3" t="str">
        <x:v>Assumptions</x:v>
      </x:c>
      <x:c r="B2" s="3" t="str">
        <x:v>Assumptions</x:v>
      </x:c>
      <x:c r="C2" s="3" t="str">
        <x:v>Assumptions</x:v>
      </x:c>
      <x:c r="D2" s="3" t="str">
        <x:v>Assumptions</x:v>
      </x:c>
    </x:row>
    <x:row r="4">
      <x:c r="A4" s="23" t="str">
        <x:v>Driver</x:v>
      </x:c>
      <x:c r="B4" s="24" t="str">
        <x:v>Value</x:v>
      </x:c>
      <x:c r="C4" s="24" t="str">
        <x:v>Unit</x:v>
      </x:c>
      <x:c r="D4" s="25" t="str">
        <x:v>Source / note</x:v>
      </x:c>
    </x:row>
    <x:row r="5">
      <x:c r="A5" t="str">
        <x:v>Initial cash</x:v>
      </x:c>
      <x:c r="B5" s="30" t="n">
        <x:v>6000</x:v>
      </x:c>
      <x:c r="C5" t="str">
        <x:v>BRL k</x:v>
      </x:c>
      <x:c r="D5" s="5" t="str">
        <x:v>Synthetic input</x:v>
      </x:c>
    </x:row>
    <x:row r="6">
      <x:c r="A6" t="str">
        <x:v>Initial accounts receivable</x:v>
      </x:c>
      <x:c r="B6" s="30" t="n">
        <x:v>500</x:v>
      </x:c>
      <x:c r="C6" t="str">
        <x:v>BRL k</x:v>
      </x:c>
      <x:c r="D6" s="5" t="str">
        <x:v>Synthetic input</x:v>
      </x:c>
    </x:row>
    <x:row r="7">
      <x:c r="A7" t="str">
        <x:v>Initial accounts payable</x:v>
      </x:c>
      <x:c r="B7" s="30" t="n">
        <x:v>300</x:v>
      </x:c>
      <x:c r="C7" t="str">
        <x:v>BRL k</x:v>
      </x:c>
      <x:c r="D7" s="5" t="str">
        <x:v>Synthetic input</x:v>
      </x:c>
    </x:row>
    <x:row r="8">
      <x:c r="A8" t="str">
        <x:v>Initial deferred revenue</x:v>
      </x:c>
      <x:c r="B8" s="30" t="n">
        <x:v>1200</x:v>
      </x:c>
      <x:c r="C8" t="str">
        <x:v>BRL k</x:v>
      </x:c>
      <x:c r="D8" s="5" t="str">
        <x:v>Synthetic input</x:v>
      </x:c>
    </x:row>
    <x:row r="9">
      <x:c r="A9" t="str">
        <x:v>Initial net PPE</x:v>
      </x:c>
      <x:c r="B9" s="30" t="n">
        <x:v>200</x:v>
      </x:c>
      <x:c r="C9" t="str">
        <x:v>BRL k</x:v>
      </x:c>
      <x:c r="D9" s="5" t="str">
        <x:v>Synthetic input</x:v>
      </x:c>
    </x:row>
    <x:row r="10">
      <x:c r="A10" t="str">
        <x:v>Initial debt</x:v>
      </x:c>
      <x:c r="B10" s="30" t="n">
        <x:v>1000</x:v>
      </x:c>
      <x:c r="C10" t="str">
        <x:v>BRL k</x:v>
      </x:c>
      <x:c r="D10" s="5" t="str">
        <x:v>Synthetic input</x:v>
      </x:c>
    </x:row>
    <x:row r="11">
      <x:c r="A11" t="str">
        <x:v>Initial contributed equity</x:v>
      </x:c>
      <x:c r="B11" s="30" t="n">
        <x:v>4200</x:v>
      </x:c>
      <x:c r="C11" t="str">
        <x:v>BRL k</x:v>
      </x:c>
      <x:c r="D11" s="5" t="str">
        <x:v>Balances opening assets and liabilities</x:v>
      </x:c>
    </x:row>
    <x:row r="12">
      <x:c r="A12" t="str">
        <x:v>Month 1 billings</x:v>
      </x:c>
      <x:c r="B12" s="30" t="n">
        <x:v>1200</x:v>
      </x:c>
      <x:c r="C12" t="str">
        <x:v>BRL k</x:v>
      </x:c>
      <x:c r="D12" s="5" t="str">
        <x:v>Synthetic input</x:v>
      </x:c>
    </x:row>
    <x:row r="13">
      <x:c r="A13" t="str">
        <x:v>Monthly billings growth</x:v>
      </x:c>
      <x:c r="B13" s="31" t="n">
        <x:v>0.05</x:v>
      </x:c>
      <x:c r="C13" t="str">
        <x:v>%</x:v>
      </x:c>
      <x:c r="D13" s="5" t="str">
        <x:v>Synthetic input</x:v>
      </x:c>
    </x:row>
    <x:row r="14">
      <x:c r="A14" t="str">
        <x:v>Recognition rate on available deferred</x:v>
      </x:c>
      <x:c r="B14" s="31" t="n">
        <x:v>0.35</x:v>
      </x:c>
      <x:c r="C14" t="str">
        <x:v>% per month</x:v>
      </x:c>
      <x:c r="D14" s="5" t="str">
        <x:v>Synthetic simplification</x:v>
      </x:c>
    </x:row>
    <x:row r="15">
      <x:c r="A15" t="str">
        <x:v>COGS as % of revenue</x:v>
      </x:c>
      <x:c r="B15" s="31" t="n">
        <x:v>0.28</x:v>
      </x:c>
      <x:c r="C15" t="str">
        <x:v>%</x:v>
      </x:c>
      <x:c r="D15" s="5" t="str">
        <x:v>Synthetic input</x:v>
      </x:c>
    </x:row>
    <x:row r="16">
      <x:c r="A16" t="str">
        <x:v>Cash operating expenses</x:v>
      </x:c>
      <x:c r="B16" s="30" t="n">
        <x:v>650</x:v>
      </x:c>
      <x:c r="C16" t="str">
        <x:v>BRL k / month</x:v>
      </x:c>
      <x:c r="D16" s="5" t="str">
        <x:v>Synthetic input</x:v>
      </x:c>
    </x:row>
    <x:row r="17">
      <x:c r="A17" t="str">
        <x:v>Monthly depreciation</x:v>
      </x:c>
      <x:c r="B17" s="30" t="n">
        <x:v>20</x:v>
      </x:c>
      <x:c r="C17" t="str">
        <x:v>BRL k</x:v>
      </x:c>
      <x:c r="D17" s="5" t="str">
        <x:v>Synthetic input</x:v>
      </x:c>
    </x:row>
    <x:row r="18">
      <x:c r="A18" t="str">
        <x:v>AR collection rate</x:v>
      </x:c>
      <x:c r="B18" s="31" t="n">
        <x:v>0.7</x:v>
      </x:c>
      <x:c r="C18" t="str">
        <x:v>% of opening AR + billings</x:v>
      </x:c>
      <x:c r="D18" s="5" t="str">
        <x:v>Synthetic simplification</x:v>
      </x:c>
    </x:row>
    <x:row r="19">
      <x:c r="A19" t="str">
        <x:v>AP payment rate</x:v>
      </x:c>
      <x:c r="B19" s="31" t="n">
        <x:v>0.75</x:v>
      </x:c>
      <x:c r="C19" t="str">
        <x:v>% of opening AP + new cash costs</x:v>
      </x:c>
      <x:c r="D19" s="5" t="str">
        <x:v>Synthetic simplification</x:v>
      </x:c>
    </x:row>
    <x:row r="20">
      <x:c r="A20" t="str">
        <x:v>Monthly capex</x:v>
      </x:c>
      <x:c r="B20" s="30" t="n">
        <x:v>40</x:v>
      </x:c>
      <x:c r="C20" t="str">
        <x:v>BRL k</x:v>
      </x:c>
      <x:c r="D20" s="5" t="str">
        <x:v>Synthetic input</x:v>
      </x:c>
    </x:row>
    <x:row r="21">
      <x:c r="A21" t="str">
        <x:v>Monthly debt principal</x:v>
      </x:c>
      <x:c r="B21" s="30" t="n">
        <x:v>0</x:v>
      </x:c>
      <x:c r="C21" t="str">
        <x:v>BRL k</x:v>
      </x:c>
      <x:c r="D21" s="5" t="str">
        <x:v>Synthetic input</x:v>
      </x:c>
    </x:row>
    <x:row r="22">
      <x:c r="A22" t="str">
        <x:v>Monthly interest</x:v>
      </x:c>
      <x:c r="B22" s="30" t="n">
        <x:v>10</x:v>
      </x:c>
      <x:c r="C22" t="str">
        <x:v>BRL k</x:v>
      </x:c>
      <x:c r="D22" s="5" t="str">
        <x:v>Synthetic input</x:v>
      </x:c>
    </x:row>
    <x:row r="23">
      <x:c r="A23" t="str">
        <x:v>Management tax rate</x:v>
      </x:c>
      <x:c r="B23" s="31" t="n">
        <x:v>0</x:v>
      </x:c>
      <x:c r="C23" t="str">
        <x:v>%</x:v>
      </x:c>
      <x:c r="D23" s="5" t="str">
        <x:v>Not validated for real use</x:v>
      </x:c>
    </x:row>
    <x:row r="25">
      <x:c r="A25" s="23" t="str">
        <x:v>Funding event</x:v>
      </x:c>
      <x:c r="B25" s="24" t="str">
        <x:v>Month</x:v>
      </x:c>
      <x:c r="C25" s="24" t="str">
        <x:v>Amount BRL k</x:v>
      </x:c>
      <x:c r="D25" s="25" t="str">
        <x:v>Treatment</x:v>
      </x:c>
    </x:row>
    <x:row r="26">
      <x:c r="A26" t="str">
        <x:v>HQ equity contribution</x:v>
      </x:c>
      <x:c r="B26" s="34" t="n">
        <x:v>7</x:v>
      </x:c>
      <x:c r="C26" s="34" t="n">
        <x:v>4000</x:v>
      </x:c>
      <x:c r="D26" t="str">
        <x:v>Financing cash flow and contributed equity</x:v>
      </x:c>
    </x:row>
    <x:row r="27">
      <x:c r="A27" t="str">
        <x:v>No other funding</x:v>
      </x:c>
      <x:c r="B27" s="34"/>
      <x:c r="C27" s="34" t="n">
        <x:v>0</x:v>
      </x:c>
      <x:c r="D27" t="str">
        <x:v>Synthetic input</x:v>
      </x:c>
    </x:row>
  </x:sheetData>
  <x:mergeCells>
    <x:mergeCell ref="A1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.5" hidden="0" customWidth="1"/>
    <x:col min="3" max="3" width="10.5" hidden="0" customWidth="1"/>
    <x:col min="4" max="4" width="10.5" hidden="0" customWidth="1"/>
    <x:col min="5" max="5" width="10.5" hidden="0" customWidth="1"/>
    <x:col min="6" max="6" width="10.5" hidden="0" customWidth="1"/>
    <x:col min="7" max="7" width="10.5" hidden="0" customWidth="1"/>
    <x:col min="8" max="8" width="10.5" hidden="0" customWidth="1"/>
    <x:col min="9" max="9" width="10.5" hidden="0" customWidth="1"/>
    <x:col min="10" max="10" width="10.5" hidden="0" customWidth="1"/>
    <x:col min="11" max="11" width="10.5" hidden="0" customWidth="1"/>
    <x:col min="12" max="12" width="10.5" hidden="0" customWidth="1"/>
    <x:col min="13" max="13" width="10.5" hidden="0" customWidth="1"/>
    <x:col min="14" max="14" width="10.5" hidden="0" customWidth="1"/>
    <x:col min="15" max="15" width="10.5" hidden="0" customWidth="1"/>
    <x:col min="16" max="16" width="10.5" hidden="0" customWidth="1"/>
    <x:col min="17" max="17" width="10.5" hidden="0" customWidth="1"/>
    <x:col min="18" max="18" width="10.5" hidden="0" customWidth="1"/>
    <x:col min="19" max="19" width="10.5" hidden="0" customWidth="1"/>
    <x:col min="20" max="20" width="10.5" hidden="0" customWidth="1"/>
    <x:col min="21" max="21" width="10.5" hidden="0" customWidth="1"/>
    <x:col min="22" max="22" width="10.5" hidden="0" customWidth="1"/>
    <x:col min="23" max="23" width="10.5" hidden="0" customWidth="1"/>
    <x:col min="24" max="24" width="10.5" hidden="0" customWidth="1"/>
    <x:col min="25" max="25" width="10.5" hidden="0" customWidth="1"/>
  </x:cols>
  <x:sheetData>
    <x:row r="1" ht="26" customHeight="1">
      <x:c r="A1" s="3" t="str">
        <x:v>Income Statement</x:v>
      </x:c>
      <x:c r="B1" s="3" t="str">
        <x:v>Income Statement</x:v>
      </x:c>
      <x:c r="C1" s="3" t="str">
        <x:v>Income Statement</x:v>
      </x:c>
      <x:c r="D1" s="3" t="str">
        <x:v>Income Statement</x:v>
      </x:c>
      <x:c r="E1" s="3" t="str">
        <x:v>Income Statement</x:v>
      </x:c>
      <x:c r="F1" s="3" t="str">
        <x:v>Income Statement</x:v>
      </x:c>
      <x:c r="G1" s="3" t="str">
        <x:v>Income Statement</x:v>
      </x:c>
      <x:c r="H1" s="3" t="str">
        <x:v>Income Statement</x:v>
      </x:c>
      <x:c r="I1" s="3" t="str">
        <x:v>Income Statement</x:v>
      </x:c>
      <x:c r="J1" s="3" t="str">
        <x:v>Income Statement</x:v>
      </x:c>
      <x:c r="K1" s="3" t="str">
        <x:v>Income Statement</x:v>
      </x:c>
      <x:c r="L1" s="3" t="str">
        <x:v>Income Statement</x:v>
      </x:c>
      <x:c r="M1" s="3" t="str">
        <x:v>Income Statement</x:v>
      </x:c>
      <x:c r="N1" s="3" t="str">
        <x:v>Income Statement</x:v>
      </x:c>
      <x:c r="O1" s="3" t="str">
        <x:v>Income Statement</x:v>
      </x:c>
      <x:c r="P1" s="3" t="str">
        <x:v>Income Statement</x:v>
      </x:c>
      <x:c r="Q1" s="3" t="str">
        <x:v>Income Statement</x:v>
      </x:c>
      <x:c r="R1" s="3" t="str">
        <x:v>Income Statement</x:v>
      </x:c>
      <x:c r="S1" s="3" t="str">
        <x:v>Income Statement</x:v>
      </x:c>
      <x:c r="T1" s="3" t="str">
        <x:v>Income Statement</x:v>
      </x:c>
      <x:c r="U1" s="3" t="str">
        <x:v>Income Statement</x:v>
      </x:c>
      <x:c r="V1" s="3" t="str">
        <x:v>Income Statement</x:v>
      </x:c>
      <x:c r="W1" s="3" t="str">
        <x:v>Income Statement</x:v>
      </x:c>
      <x:c r="X1" s="3" t="str">
        <x:v>Income Statement</x:v>
      </x:c>
      <x:c r="Y1" s="3" t="str">
        <x:v>Income Statement</x:v>
      </x:c>
    </x:row>
    <x:row r="2" ht="26" customHeight="1">
      <x:c r="A2" s="3" t="str">
        <x:v>Income Statement</x:v>
      </x:c>
      <x:c r="B2" s="3" t="str">
        <x:v>Income Statement</x:v>
      </x:c>
      <x:c r="C2" s="3" t="str">
        <x:v>Income Statement</x:v>
      </x:c>
      <x:c r="D2" s="3" t="str">
        <x:v>Income Statement</x:v>
      </x:c>
      <x:c r="E2" s="3" t="str">
        <x:v>Income Statement</x:v>
      </x:c>
      <x:c r="F2" s="3" t="str">
        <x:v>Income Statement</x:v>
      </x:c>
      <x:c r="G2" s="3" t="str">
        <x:v>Income Statement</x:v>
      </x:c>
      <x:c r="H2" s="3" t="str">
        <x:v>Income Statement</x:v>
      </x:c>
      <x:c r="I2" s="3" t="str">
        <x:v>Income Statement</x:v>
      </x:c>
      <x:c r="J2" s="3" t="str">
        <x:v>Income Statement</x:v>
      </x:c>
      <x:c r="K2" s="3" t="str">
        <x:v>Income Statement</x:v>
      </x:c>
      <x:c r="L2" s="3" t="str">
        <x:v>Income Statement</x:v>
      </x:c>
      <x:c r="M2" s="3" t="str">
        <x:v>Income Statement</x:v>
      </x:c>
      <x:c r="N2" s="3" t="str">
        <x:v>Income Statement</x:v>
      </x:c>
      <x:c r="O2" s="3" t="str">
        <x:v>Income Statement</x:v>
      </x:c>
      <x:c r="P2" s="3" t="str">
        <x:v>Income Statement</x:v>
      </x:c>
      <x:c r="Q2" s="3" t="str">
        <x:v>Income Statement</x:v>
      </x:c>
      <x:c r="R2" s="3" t="str">
        <x:v>Income Statement</x:v>
      </x:c>
      <x:c r="S2" s="3" t="str">
        <x:v>Income Statement</x:v>
      </x:c>
      <x:c r="T2" s="3" t="str">
        <x:v>Income Statement</x:v>
      </x:c>
      <x:c r="U2" s="3" t="str">
        <x:v>Income Statement</x:v>
      </x:c>
      <x:c r="V2" s="3" t="str">
        <x:v>Income Statement</x:v>
      </x:c>
      <x:c r="W2" s="3" t="str">
        <x:v>Income Statement</x:v>
      </x:c>
      <x:c r="X2" s="3" t="str">
        <x:v>Income Statement</x:v>
      </x:c>
      <x:c r="Y2" s="3" t="str">
        <x:v>Income Statement</x:v>
      </x:c>
    </x:row>
    <x:row r="4">
      <x:c r="A4" s="35" t="str">
        <x:v>BRL thousands | monthly forecast | synthetic case</x:v>
      </x:c>
      <x:c r="B4" s="35" t="str">
        <x:v>BRL thousands | monthly forecast | synthetic case</x:v>
      </x:c>
      <x:c r="C4" s="35" t="str">
        <x:v>BRL thousands | monthly forecast | synthetic case</x:v>
      </x:c>
      <x:c r="D4" s="35" t="str">
        <x:v>BRL thousands | monthly forecast | synthetic case</x:v>
      </x:c>
      <x:c r="E4" s="35" t="str">
        <x:v>BRL thousands | monthly forecast | synthetic case</x:v>
      </x:c>
      <x:c r="F4" s="35" t="str">
        <x:v>BRL thousands | monthly forecast | synthetic case</x:v>
      </x:c>
      <x:c r="G4" s="35" t="str">
        <x:v>BRL thousands | monthly forecast | synthetic case</x:v>
      </x:c>
      <x:c r="H4" s="35" t="str">
        <x:v>BRL thousands | monthly forecast | synthetic case</x:v>
      </x:c>
      <x:c r="I4" s="35" t="str">
        <x:v>BRL thousands | monthly forecast | synthetic case</x:v>
      </x:c>
      <x:c r="J4" s="35" t="str">
        <x:v>BRL thousands | monthly forecast | synthetic case</x:v>
      </x:c>
      <x:c r="K4" s="35" t="str">
        <x:v>BRL thousands | monthly forecast | synthetic case</x:v>
      </x:c>
      <x:c r="L4" s="35" t="str">
        <x:v>BRL thousands | monthly forecast | synthetic case</x:v>
      </x:c>
      <x:c r="M4" s="35" t="str">
        <x:v>BRL thousands | monthly forecast | synthetic case</x:v>
      </x:c>
      <x:c r="N4" s="35" t="str">
        <x:v>BRL thousands | monthly forecast | synthetic case</x:v>
      </x:c>
      <x:c r="O4" s="35" t="str">
        <x:v>BRL thousands | monthly forecast | synthetic case</x:v>
      </x:c>
      <x:c r="P4" s="35" t="str">
        <x:v>BRL thousands | monthly forecast | synthetic case</x:v>
      </x:c>
      <x:c r="Q4" s="35" t="str">
        <x:v>BRL thousands | monthly forecast | synthetic case</x:v>
      </x:c>
      <x:c r="R4" s="35" t="str">
        <x:v>BRL thousands | monthly forecast | synthetic case</x:v>
      </x:c>
      <x:c r="S4" s="35" t="str">
        <x:v>BRL thousands | monthly forecast | synthetic case</x:v>
      </x:c>
      <x:c r="T4" s="35" t="str">
        <x:v>BRL thousands | monthly forecast | synthetic case</x:v>
      </x:c>
      <x:c r="U4" s="35" t="str">
        <x:v>BRL thousands | monthly forecast | synthetic case</x:v>
      </x:c>
      <x:c r="V4" s="35" t="str">
        <x:v>BRL thousands | monthly forecast | synthetic case</x:v>
      </x:c>
      <x:c r="W4" s="35" t="str">
        <x:v>BRL thousands | monthly forecast | synthetic case</x:v>
      </x:c>
      <x:c r="X4" s="35" t="str">
        <x:v>BRL thousands | monthly forecast | synthetic case</x:v>
      </x:c>
      <x:c r="Y4" s="35" t="str">
        <x:v>BRL thousands | monthly forecast | synthetic case</x:v>
      </x:c>
    </x:row>
    <x:row r="5">
      <x:c r="A5" s="23" t="str">
        <x:v>Line item</x:v>
      </x:c>
      <x:c r="B5" s="42" t="n">
        <x:v>46023</x:v>
      </x:c>
      <x:c r="C5" s="42" t="n">
        <x:v>46054</x:v>
      </x:c>
      <x:c r="D5" s="42" t="n">
        <x:v>46082</x:v>
      </x:c>
      <x:c r="E5" s="42" t="n">
        <x:v>46113</x:v>
      </x:c>
      <x:c r="F5" s="42" t="n">
        <x:v>46143</x:v>
      </x:c>
      <x:c r="G5" s="42" t="n">
        <x:v>46174</x:v>
      </x:c>
      <x:c r="H5" s="42" t="n">
        <x:v>46204</x:v>
      </x:c>
      <x:c r="I5" s="42" t="n">
        <x:v>46235</x:v>
      </x:c>
      <x:c r="J5" s="42" t="n">
        <x:v>46266</x:v>
      </x:c>
      <x:c r="K5" s="42" t="n">
        <x:v>46296</x:v>
      </x:c>
      <x:c r="L5" s="42" t="n">
        <x:v>46327</x:v>
      </x:c>
      <x:c r="M5" s="42" t="n">
        <x:v>46357</x:v>
      </x:c>
      <x:c r="N5" s="42" t="n">
        <x:v>46388</x:v>
      </x:c>
      <x:c r="O5" s="42" t="n">
        <x:v>46419</x:v>
      </x:c>
      <x:c r="P5" s="42" t="n">
        <x:v>46447</x:v>
      </x:c>
      <x:c r="Q5" s="42" t="n">
        <x:v>46478</x:v>
      </x:c>
      <x:c r="R5" s="42" t="n">
        <x:v>46508</x:v>
      </x:c>
      <x:c r="S5" s="42" t="n">
        <x:v>46539</x:v>
      </x:c>
      <x:c r="T5" s="42" t="n">
        <x:v>46569</x:v>
      </x:c>
      <x:c r="U5" s="42" t="n">
        <x:v>46600</x:v>
      </x:c>
      <x:c r="V5" s="42" t="n">
        <x:v>46631</x:v>
      </x:c>
      <x:c r="W5" s="42" t="n">
        <x:v>46661</x:v>
      </x:c>
      <x:c r="X5" s="42" t="n">
        <x:v>46692</x:v>
      </x:c>
      <x:c r="Y5" s="43" t="n">
        <x:v>46722</x:v>
      </x:c>
    </x:row>
    <x:row r="7">
      <x:c r="A7" s="45" t="str">
        <x:v>Billings</x:v>
      </x:c>
      <x:c r="B7" s="47" t="n">
        <x:f>'Assumptions'!$B$12</x:f>
        <x:v>1200</x:v>
      </x:c>
      <x:c r="C7" s="47" t="n">
        <x:f>B7*(1+'Assumptions'!$B$13)</x:f>
        <x:v>1260</x:v>
      </x:c>
      <x:c r="D7" s="47" t="n">
        <x:f>C7*(1+'Assumptions'!$B$13)</x:f>
        <x:v>1323</x:v>
      </x:c>
      <x:c r="E7" s="47" t="n">
        <x:f>D7*(1+'Assumptions'!$B$13)</x:f>
        <x:v>1389.15</x:v>
      </x:c>
      <x:c r="F7" s="47" t="n">
        <x:f>E7*(1+'Assumptions'!$B$13)</x:f>
        <x:v>1458.6075</x:v>
      </x:c>
      <x:c r="G7" s="47" t="n">
        <x:f>F7*(1+'Assumptions'!$B$13)</x:f>
        <x:v>1531.5378750000002</x:v>
      </x:c>
      <x:c r="H7" s="47" t="n">
        <x:f>G7*(1+'Assumptions'!$B$13)</x:f>
        <x:v>1608.1147687500004</x:v>
      </x:c>
      <x:c r="I7" s="47" t="n">
        <x:f>H7*(1+'Assumptions'!$B$13)</x:f>
        <x:v>1688.5205071875005</x:v>
      </x:c>
      <x:c r="J7" s="47" t="n">
        <x:f>I7*(1+'Assumptions'!$B$13)</x:f>
        <x:v>1772.9465325468755</x:v>
      </x:c>
      <x:c r="K7" s="47" t="n">
        <x:f>J7*(1+'Assumptions'!$B$13)</x:f>
        <x:v>1861.5938591742192</x:v>
      </x:c>
      <x:c r="L7" s="47" t="n">
        <x:f>K7*(1+'Assumptions'!$B$13)</x:f>
        <x:v>1954.6735521329304</x:v>
      </x:c>
      <x:c r="M7" s="47" t="n">
        <x:f>L7*(1+'Assumptions'!$B$13)</x:f>
        <x:v>2052.407229739577</x:v>
      </x:c>
      <x:c r="N7" s="47" t="n">
        <x:f>M7*(1+'Assumptions'!$B$13)</x:f>
        <x:v>2155.027591226556</x:v>
      </x:c>
      <x:c r="O7" s="47" t="n">
        <x:f>N7*(1+'Assumptions'!$B$13)</x:f>
        <x:v>2262.778970787884</x:v>
      </x:c>
      <x:c r="P7" s="47" t="n">
        <x:f>O7*(1+'Assumptions'!$B$13)</x:f>
        <x:v>2375.9179193272785</x:v>
      </x:c>
      <x:c r="Q7" s="47" t="n">
        <x:f>P7*(1+'Assumptions'!$B$13)</x:f>
        <x:v>2494.7138152936427</x:v>
      </x:c>
      <x:c r="R7" s="47" t="n">
        <x:f>Q7*(1+'Assumptions'!$B$13)</x:f>
        <x:v>2619.449506058325</x:v>
      </x:c>
      <x:c r="S7" s="47" t="n">
        <x:f>R7*(1+'Assumptions'!$B$13)</x:f>
        <x:v>2750.4219813612413</x:v>
      </x:c>
      <x:c r="T7" s="47" t="n">
        <x:f>S7*(1+'Assumptions'!$B$13)</x:f>
        <x:v>2887.9430804293033</x:v>
      </x:c>
      <x:c r="U7" s="47" t="n">
        <x:f>T7*(1+'Assumptions'!$B$13)</x:f>
        <x:v>3032.3402344507685</x:v>
      </x:c>
      <x:c r="V7" s="47" t="n">
        <x:f>U7*(1+'Assumptions'!$B$13)</x:f>
        <x:v>3183.957246173307</x:v>
      </x:c>
      <x:c r="W7" s="47" t="n">
        <x:f>V7*(1+'Assumptions'!$B$13)</x:f>
        <x:v>3343.1551084819725</x:v>
      </x:c>
      <x:c r="X7" s="47" t="n">
        <x:f>W7*(1+'Assumptions'!$B$13)</x:f>
        <x:v>3510.3128639060715</x:v>
      </x:c>
      <x:c r="Y7" s="47" t="n">
        <x:f>X7*(1+'Assumptions'!$B$13)</x:f>
        <x:v>3685.828507101375</x:v>
      </x:c>
    </x:row>
    <x:row r="8">
      <x:c r="A8" s="45" t="str">
        <x:v>Revenue</x:v>
      </x:c>
      <x:c r="B8" s="47" t="n">
        <x:f>('Assumptions'!$B$8+B7)*'Assumptions'!$B$14</x:f>
        <x:v>840</x:v>
      </x:c>
      <x:c r="C8" s="47" t="n">
        <x:f>('Balance Sheet'!B10+C7)*'Assumptions'!$B$14</x:f>
        <x:v>986.9999999999999</x:v>
      </x:c>
      <x:c r="D8" s="47" t="n">
        <x:f>('Balance Sheet'!C10+D7)*'Assumptions'!$B$14</x:f>
        <x:v>1104.6</x:v>
      </x:c>
      <x:c r="E8" s="47" t="n">
        <x:f>('Balance Sheet'!D10+E7)*'Assumptions'!$B$14</x:f>
        <x:v>1204.1924999999999</x:v>
      </x:c>
      <x:c r="F8" s="47" t="n">
        <x:f>('Balance Sheet'!E10+F7)*'Assumptions'!$B$14</x:f>
        <x:v>1293.23775</x:v>
      </x:c>
      <x:c r="G8" s="47" t="n">
        <x:f>('Balance Sheet'!F10+G7)*'Assumptions'!$B$14</x:f>
        <x:v>1376.6427937499998</x:v>
      </x:c>
      <x:c r="H8" s="47" t="n">
        <x:f>('Balance Sheet'!G10+H7)*'Assumptions'!$B$14</x:f>
        <x:v>1457.657985</x:v>
      </x:c>
      <x:c r="I8" s="47" t="n">
        <x:f>('Balance Sheet'!H10+I7)*'Assumptions'!$B$14</x:f>
        <x:v>1538.4598677656254</x:v>
      </x:c>
      <x:c r="J8" s="47" t="n">
        <x:f>('Balance Sheet'!I10+J7)*'Assumptions'!$B$14</x:f>
        <x:v>1620.530200439063</x:v>
      </x:c>
      <x:c r="K8" s="47" t="n">
        <x:f>('Balance Sheet'!J10+K7)*'Assumptions'!$B$14</x:f>
        <x:v>1704.9024809963678</x:v>
      </x:c>
      <x:c r="L8" s="47" t="n">
        <x:f>('Balance Sheet'!K10+L7)*'Assumptions'!$B$14</x:f>
        <x:v>1792.3223558941645</x:v>
      </x:c>
      <x:c r="M8" s="47" t="n">
        <x:f>('Balance Sheet'!L10+M7)*'Assumptions'!$B$14</x:f>
        <x:v>1883.3520617400588</x:v>
      </x:c>
      <x:c r="N8" s="47" t="n">
        <x:f>('Balance Sheet'!M10+N7)*'Assumptions'!$B$14</x:f>
        <x:v>1978.4384970603328</x:v>
      </x:c>
      <x:c r="O8" s="47" t="n">
        <x:f>('Balance Sheet'!N10+O7)*'Assumptions'!$B$14</x:f>
        <x:v>2077.957662864976</x:v>
      </x:c>
      <x:c r="P8" s="47" t="n">
        <x:f>('Balance Sheet'!O10+P7)*'Assumptions'!$B$14</x:f>
        <x:v>2182.2437526267813</x:v>
      </x:c>
      <x:c r="Q8" s="47" t="n">
        <x:f>('Balance Sheet'!P10+Q7)*'Assumptions'!$B$14</x:f>
        <x:v>2291.608274560183</x:v>
      </x:c>
      <x:c r="R8" s="47" t="n">
        <x:f>('Balance Sheet'!Q10+R7)*'Assumptions'!$B$14</x:f>
        <x:v>2406.3527055845325</x:v>
      </x:c>
      <x:c r="S8" s="47" t="n">
        <x:f>('Balance Sheet'!R10+S7)*'Assumptions'!$B$14</x:f>
        <x:v>2526.7769521063806</x:v>
      </x:c>
      <x:c r="T8" s="47" t="n">
        <x:f>('Balance Sheet'!S10+T7)*'Assumptions'!$B$14</x:f>
        <x:v>2653.1850970194037</x:v>
      </x:c>
      <x:c r="U8" s="47" t="n">
        <x:f>('Balance Sheet'!T10+U7)*'Assumptions'!$B$14</x:f>
        <x:v>2785.8893951203813</x:v>
      </x:c>
      <x:c r="V8" s="47" t="n">
        <x:f>('Balance Sheet'!U10+V7)*'Assumptions'!$B$14</x:f>
        <x:v>2925.213142988905</x:v>
      </x:c>
      <x:c r="W8" s="47" t="n">
        <x:f>('Balance Sheet'!V10+W7)*'Assumptions'!$B$14</x:f>
        <x:v>3071.492830911479</x:v>
      </x:c>
      <x:c r="X8" s="47" t="n">
        <x:f>('Balance Sheet'!W10+X7)*'Assumptions'!$B$14</x:f>
        <x:v>3225.079842459587</x:v>
      </x:c>
      <x:c r="Y8" s="47" t="n">
        <x:f>('Balance Sheet'!X10+Y7)*'Assumptions'!$B$14</x:f>
        <x:v>3386.341875084213</x:v>
      </x:c>
    </x:row>
    <x:row r="9">
      <x:c r="A9" s="45" t="str">
        <x:v>COGS</x:v>
      </x:c>
      <x:c r="B9" s="47" t="n">
        <x:f>-B8*'Assumptions'!$B$15</x:f>
        <x:v>-235.20000000000002</x:v>
      </x:c>
      <x:c r="C9" s="47" t="n">
        <x:f>-C8*'Assumptions'!$B$15</x:f>
        <x:v>-276.36</x:v>
      </x:c>
      <x:c r="D9" s="47" t="n">
        <x:f>-D8*'Assumptions'!$B$15</x:f>
        <x:v>-309.288</x:v>
      </x:c>
      <x:c r="E9" s="47" t="n">
        <x:f>-E8*'Assumptions'!$B$15</x:f>
        <x:v>-337.1739</x:v>
      </x:c>
      <x:c r="F9" s="47" t="n">
        <x:f>-F8*'Assumptions'!$B$15</x:f>
        <x:v>-362.10657000000003</x:v>
      </x:c>
      <x:c r="G9" s="47" t="n">
        <x:f>-G8*'Assumptions'!$B$15</x:f>
        <x:v>-385.45998225</x:v>
      </x:c>
      <x:c r="H9" s="47" t="n">
        <x:f>-H8*'Assumptions'!$B$15</x:f>
        <x:v>-408.14423580000005</x:v>
      </x:c>
      <x:c r="I9" s="47" t="n">
        <x:f>-I8*'Assumptions'!$B$15</x:f>
        <x:v>-430.76876297437514</x:v>
      </x:c>
      <x:c r="J9" s="47" t="n">
        <x:f>-J8*'Assumptions'!$B$15</x:f>
        <x:v>-453.7484561229377</x:v>
      </x:c>
      <x:c r="K9" s="47" t="n">
        <x:f>-K8*'Assumptions'!$B$15</x:f>
        <x:v>-477.372694678983</x:v>
      </x:c>
      <x:c r="L9" s="47" t="n">
        <x:f>-L8*'Assumptions'!$B$15</x:f>
        <x:v>-501.8502596503661</x:v>
      </x:c>
      <x:c r="M9" s="47" t="n">
        <x:f>-M8*'Assumptions'!$B$15</x:f>
        <x:v>-527.3385772872165</x:v>
      </x:c>
      <x:c r="N9" s="47" t="n">
        <x:f>-N8*'Assumptions'!$B$15</x:f>
        <x:v>-553.9627791768933</x:v>
      </x:c>
      <x:c r="O9" s="47" t="n">
        <x:f>-O8*'Assumptions'!$B$15</x:f>
        <x:v>-581.8281456021933</x:v>
      </x:c>
      <x:c r="P9" s="47" t="n">
        <x:f>-P8*'Assumptions'!$B$15</x:f>
        <x:v>-611.0282507354988</x:v>
      </x:c>
      <x:c r="Q9" s="47" t="n">
        <x:f>-Q8*'Assumptions'!$B$15</x:f>
        <x:v>-641.6503168768513</x:v>
      </x:c>
      <x:c r="R9" s="47" t="n">
        <x:f>-R8*'Assumptions'!$B$15</x:f>
        <x:v>-673.7787575636692</x:v>
      </x:c>
      <x:c r="S9" s="47" t="n">
        <x:f>-S8*'Assumptions'!$B$15</x:f>
        <x:v>-707.4975465897867</x:v>
      </x:c>
      <x:c r="T9" s="47" t="n">
        <x:f>-T8*'Assumptions'!$B$15</x:f>
        <x:v>-742.8918271654331</x:v>
      </x:c>
      <x:c r="U9" s="47" t="n">
        <x:f>-U8*'Assumptions'!$B$15</x:f>
        <x:v>-780.0490306337068</x:v>
      </x:c>
      <x:c r="V9" s="47" t="n">
        <x:f>-V8*'Assumptions'!$B$15</x:f>
        <x:v>-819.0596800368935</x:v>
      </x:c>
      <x:c r="W9" s="47" t="n">
        <x:f>-W8*'Assumptions'!$B$15</x:f>
        <x:v>-860.0179926552141</x:v>
      </x:c>
      <x:c r="X9" s="47" t="n">
        <x:f>-X8*'Assumptions'!$B$15</x:f>
        <x:v>-903.0223558886844</x:v>
      </x:c>
      <x:c r="Y9" s="47" t="n">
        <x:f>-Y8*'Assumptions'!$B$15</x:f>
        <x:v>-948.1757250235797</x:v>
      </x:c>
    </x:row>
    <x:row r="10">
      <x:c r="A10" s="51" t="str">
        <x:v>Gross profit</x:v>
      </x:c>
      <x:c r="B10" s="52" t="n">
        <x:f>SUM(B8:B9)</x:f>
        <x:v>604.8</x:v>
      </x:c>
      <x:c r="C10" s="52" t="n">
        <x:f>SUM(C8:C9)</x:f>
        <x:v>710.6399999999999</x:v>
      </x:c>
      <x:c r="D10" s="52" t="n">
        <x:f>SUM(D8:D9)</x:f>
        <x:v>795.3119999999999</x:v>
      </x:c>
      <x:c r="E10" s="52" t="n">
        <x:f>SUM(E8:E9)</x:f>
        <x:v>867.0185999999999</x:v>
      </x:c>
      <x:c r="F10" s="52" t="n">
        <x:f>SUM(F8:F9)</x:f>
        <x:v>931.13118</x:v>
      </x:c>
      <x:c r="G10" s="52" t="n">
        <x:f>SUM(G8:G9)</x:f>
        <x:v>991.1828114999998</x:v>
      </x:c>
      <x:c r="H10" s="52" t="n">
        <x:f>SUM(H8:H9)</x:f>
        <x:v>1049.5137492</x:v>
      </x:c>
      <x:c r="I10" s="52" t="n">
        <x:f>SUM(I8:I9)</x:f>
        <x:v>1107.6911047912504</x:v>
      </x:c>
      <x:c r="J10" s="52" t="n">
        <x:f>SUM(J8:J9)</x:f>
        <x:v>1166.7817443161252</x:v>
      </x:c>
      <x:c r="K10" s="52" t="n">
        <x:f>SUM(K8:K9)</x:f>
        <x:v>1227.5297863173848</x:v>
      </x:c>
      <x:c r="L10" s="52" t="n">
        <x:f>SUM(L8:L9)</x:f>
        <x:v>1290.4720962437984</x:v>
      </x:c>
      <x:c r="M10" s="52" t="n">
        <x:f>SUM(M8:M9)</x:f>
        <x:v>1356.0134844528425</x:v>
      </x:c>
      <x:c r="N10" s="52" t="n">
        <x:f>SUM(N8:N9)</x:f>
        <x:v>1424.4757178834395</x:v>
      </x:c>
      <x:c r="O10" s="52" t="n">
        <x:f>SUM(O8:O9)</x:f>
        <x:v>1496.1295172627829</x:v>
      </x:c>
      <x:c r="P10" s="52" t="n">
        <x:f>SUM(P8:P9)</x:f>
        <x:v>1571.2155018912827</x:v>
      </x:c>
      <x:c r="Q10" s="52" t="n">
        <x:f>SUM(Q8:Q9)</x:f>
        <x:v>1649.9579576833316</x:v>
      </x:c>
      <x:c r="R10" s="52" t="n">
        <x:f>SUM(R8:R9)</x:f>
        <x:v>1732.5739480208633</x:v>
      </x:c>
      <x:c r="S10" s="52" t="n">
        <x:f>SUM(S8:S9)</x:f>
        <x:v>1819.279405516594</x:v>
      </x:c>
      <x:c r="T10" s="52" t="n">
        <x:f>SUM(T8:T9)</x:f>
        <x:v>1910.2932698539705</x:v>
      </x:c>
      <x:c r="U10" s="52" t="n">
        <x:f>SUM(U8:U9)</x:f>
        <x:v>2005.8403644866744</x:v>
      </x:c>
      <x:c r="V10" s="52" t="n">
        <x:f>SUM(V8:V9)</x:f>
        <x:v>2106.1534629520115</x:v>
      </x:c>
      <x:c r="W10" s="52" t="n">
        <x:f>SUM(W8:W9)</x:f>
        <x:v>2211.474838256265</x:v>
      </x:c>
      <x:c r="X10" s="52" t="n">
        <x:f>SUM(X8:X9)</x:f>
        <x:v>2322.0574865709023</x:v>
      </x:c>
      <x:c r="Y10" s="52" t="n">
        <x:f>SUM(Y8:Y9)</x:f>
        <x:v>2438.1661500606333</x:v>
      </x:c>
    </x:row>
    <x:row r="11">
      <x:c r="A11" s="45" t="str">
        <x:v>Gross margin</x:v>
      </x:c>
      <x:c r="B11" s="48" t="n">
        <x:f>IF(B8=0,0,B10/B8)</x:f>
        <x:v>0.72</x:v>
      </x:c>
      <x:c r="C11" s="48" t="n">
        <x:f>IF(C8=0,0,C10/C8)</x:f>
        <x:v>0.72</x:v>
      </x:c>
      <x:c r="D11" s="48" t="n">
        <x:f>IF(D8=0,0,D10/D8)</x:f>
        <x:v>0.72</x:v>
      </x:c>
      <x:c r="E11" s="48" t="n">
        <x:f>IF(E8=0,0,E10/E8)</x:f>
        <x:v>0.72</x:v>
      </x:c>
      <x:c r="F11" s="48" t="n">
        <x:f>IF(F8=0,0,F10/F8)</x:f>
        <x:v>0.72</x:v>
      </x:c>
      <x:c r="G11" s="48" t="n">
        <x:f>IF(G8=0,0,G10/G8)</x:f>
        <x:v>0.72</x:v>
      </x:c>
      <x:c r="H11" s="48" t="n">
        <x:f>IF(H8=0,0,H10/H8)</x:f>
        <x:v>0.7199999999999999</x:v>
      </x:c>
      <x:c r="I11" s="48" t="n">
        <x:f>IF(I8=0,0,I10/I8)</x:f>
        <x:v>0.7200000000000001</x:v>
      </x:c>
      <x:c r="J11" s="48" t="n">
        <x:f>IF(J8=0,0,J10/J8)</x:f>
        <x:v>0.7199999999999999</x:v>
      </x:c>
      <x:c r="K11" s="48" t="n">
        <x:f>IF(K8=0,0,K10/K8)</x:f>
        <x:v>0.72</x:v>
      </x:c>
      <x:c r="L11" s="48" t="n">
        <x:f>IF(L8=0,0,L10/L8)</x:f>
        <x:v>0.72</x:v>
      </x:c>
      <x:c r="M11" s="48" t="n">
        <x:f>IF(M8=0,0,M10/M8)</x:f>
        <x:v>0.7200000000000001</x:v>
      </x:c>
      <x:c r="N11" s="48" t="n">
        <x:f>IF(N8=0,0,N10/N8)</x:f>
        <x:v>0.72</x:v>
      </x:c>
      <x:c r="O11" s="48" t="n">
        <x:f>IF(O8=0,0,O10/O8)</x:f>
        <x:v>0.7200000000000001</x:v>
      </x:c>
      <x:c r="P11" s="48" t="n">
        <x:f>IF(P8=0,0,P10/P8)</x:f>
        <x:v>0.7200000000000001</x:v>
      </x:c>
      <x:c r="Q11" s="48" t="n">
        <x:f>IF(Q8=0,0,Q10/Q8)</x:f>
        <x:v>0.72</x:v>
      </x:c>
      <x:c r="R11" s="48" t="n">
        <x:f>IF(R8=0,0,R10/R8)</x:f>
        <x:v>0.72</x:v>
      </x:c>
      <x:c r="S11" s="48" t="n">
        <x:f>IF(S8=0,0,S10/S8)</x:f>
        <x:v>0.72</x:v>
      </x:c>
      <x:c r="T11" s="48" t="n">
        <x:f>IF(T8=0,0,T10/T8)</x:f>
        <x:v>0.72</x:v>
      </x:c>
      <x:c r="U11" s="48" t="n">
        <x:f>IF(U8=0,0,U10/U8)</x:f>
        <x:v>0.72</x:v>
      </x:c>
      <x:c r="V11" s="48" t="n">
        <x:f>IF(V8=0,0,V10/V8)</x:f>
        <x:v>0.72</x:v>
      </x:c>
      <x:c r="W11" s="48" t="n">
        <x:f>IF(W8=0,0,W10/W8)</x:f>
        <x:v>0.72</x:v>
      </x:c>
      <x:c r="X11" s="48" t="n">
        <x:f>IF(X8=0,0,X10/X8)</x:f>
        <x:v>0.7199999999999999</x:v>
      </x:c>
      <x:c r="Y11" s="48" t="n">
        <x:f>IF(Y8=0,0,Y10/Y8)</x:f>
        <x:v>0.72</x:v>
      </x:c>
    </x:row>
    <x:row r="12">
      <x:c r="A12" s="45" t="str">
        <x:v>Cash operating expenses</x:v>
      </x:c>
      <x:c r="B12" s="47" t="n">
        <x:f>-'Assumptions'!$B$16</x:f>
        <x:v>-650</x:v>
      </x:c>
      <x:c r="C12" s="47" t="n">
        <x:f>-'Assumptions'!$B$16</x:f>
        <x:v>-650</x:v>
      </x:c>
      <x:c r="D12" s="47" t="n">
        <x:f>-'Assumptions'!$B$16</x:f>
        <x:v>-650</x:v>
      </x:c>
      <x:c r="E12" s="47" t="n">
        <x:f>-'Assumptions'!$B$16</x:f>
        <x:v>-650</x:v>
      </x:c>
      <x:c r="F12" s="47" t="n">
        <x:f>-'Assumptions'!$B$16</x:f>
        <x:v>-650</x:v>
      </x:c>
      <x:c r="G12" s="47" t="n">
        <x:f>-'Assumptions'!$B$16</x:f>
        <x:v>-650</x:v>
      </x:c>
      <x:c r="H12" s="47" t="n">
        <x:f>-'Assumptions'!$B$16</x:f>
        <x:v>-650</x:v>
      </x:c>
      <x:c r="I12" s="47" t="n">
        <x:f>-'Assumptions'!$B$16</x:f>
        <x:v>-650</x:v>
      </x:c>
      <x:c r="J12" s="47" t="n">
        <x:f>-'Assumptions'!$B$16</x:f>
        <x:v>-650</x:v>
      </x:c>
      <x:c r="K12" s="47" t="n">
        <x:f>-'Assumptions'!$B$16</x:f>
        <x:v>-650</x:v>
      </x:c>
      <x:c r="L12" s="47" t="n">
        <x:f>-'Assumptions'!$B$16</x:f>
        <x:v>-650</x:v>
      </x:c>
      <x:c r="M12" s="47" t="n">
        <x:f>-'Assumptions'!$B$16</x:f>
        <x:v>-650</x:v>
      </x:c>
      <x:c r="N12" s="47" t="n">
        <x:f>-'Assumptions'!$B$16</x:f>
        <x:v>-650</x:v>
      </x:c>
      <x:c r="O12" s="47" t="n">
        <x:f>-'Assumptions'!$B$16</x:f>
        <x:v>-650</x:v>
      </x:c>
      <x:c r="P12" s="47" t="n">
        <x:f>-'Assumptions'!$B$16</x:f>
        <x:v>-650</x:v>
      </x:c>
      <x:c r="Q12" s="47" t="n">
        <x:f>-'Assumptions'!$B$16</x:f>
        <x:v>-650</x:v>
      </x:c>
      <x:c r="R12" s="47" t="n">
        <x:f>-'Assumptions'!$B$16</x:f>
        <x:v>-650</x:v>
      </x:c>
      <x:c r="S12" s="47" t="n">
        <x:f>-'Assumptions'!$B$16</x:f>
        <x:v>-650</x:v>
      </x:c>
      <x:c r="T12" s="47" t="n">
        <x:f>-'Assumptions'!$B$16</x:f>
        <x:v>-650</x:v>
      </x:c>
      <x:c r="U12" s="47" t="n">
        <x:f>-'Assumptions'!$B$16</x:f>
        <x:v>-650</x:v>
      </x:c>
      <x:c r="V12" s="47" t="n">
        <x:f>-'Assumptions'!$B$16</x:f>
        <x:v>-650</x:v>
      </x:c>
      <x:c r="W12" s="47" t="n">
        <x:f>-'Assumptions'!$B$16</x:f>
        <x:v>-650</x:v>
      </x:c>
      <x:c r="X12" s="47" t="n">
        <x:f>-'Assumptions'!$B$16</x:f>
        <x:v>-650</x:v>
      </x:c>
      <x:c r="Y12" s="47" t="n">
        <x:f>-'Assumptions'!$B$16</x:f>
        <x:v>-650</x:v>
      </x:c>
    </x:row>
    <x:row r="13">
      <x:c r="A13" s="45" t="str">
        <x:v>Depreciation &amp; amortization</x:v>
      </x:c>
      <x:c r="B13" s="47" t="n">
        <x:f>-'Assumptions'!$B$17</x:f>
        <x:v>-20</x:v>
      </x:c>
      <x:c r="C13" s="47" t="n">
        <x:f>-'Assumptions'!$B$17</x:f>
        <x:v>-20</x:v>
      </x:c>
      <x:c r="D13" s="47" t="n">
        <x:f>-'Assumptions'!$B$17</x:f>
        <x:v>-20</x:v>
      </x:c>
      <x:c r="E13" s="47" t="n">
        <x:f>-'Assumptions'!$B$17</x:f>
        <x:v>-20</x:v>
      </x:c>
      <x:c r="F13" s="47" t="n">
        <x:f>-'Assumptions'!$B$17</x:f>
        <x:v>-20</x:v>
      </x:c>
      <x:c r="G13" s="47" t="n">
        <x:f>-'Assumptions'!$B$17</x:f>
        <x:v>-20</x:v>
      </x:c>
      <x:c r="H13" s="47" t="n">
        <x:f>-'Assumptions'!$B$17</x:f>
        <x:v>-20</x:v>
      </x:c>
      <x:c r="I13" s="47" t="n">
        <x:f>-'Assumptions'!$B$17</x:f>
        <x:v>-20</x:v>
      </x:c>
      <x:c r="J13" s="47" t="n">
        <x:f>-'Assumptions'!$B$17</x:f>
        <x:v>-20</x:v>
      </x:c>
      <x:c r="K13" s="47" t="n">
        <x:f>-'Assumptions'!$B$17</x:f>
        <x:v>-20</x:v>
      </x:c>
      <x:c r="L13" s="47" t="n">
        <x:f>-'Assumptions'!$B$17</x:f>
        <x:v>-20</x:v>
      </x:c>
      <x:c r="M13" s="47" t="n">
        <x:f>-'Assumptions'!$B$17</x:f>
        <x:v>-20</x:v>
      </x:c>
      <x:c r="N13" s="47" t="n">
        <x:f>-'Assumptions'!$B$17</x:f>
        <x:v>-20</x:v>
      </x:c>
      <x:c r="O13" s="47" t="n">
        <x:f>-'Assumptions'!$B$17</x:f>
        <x:v>-20</x:v>
      </x:c>
      <x:c r="P13" s="47" t="n">
        <x:f>-'Assumptions'!$B$17</x:f>
        <x:v>-20</x:v>
      </x:c>
      <x:c r="Q13" s="47" t="n">
        <x:f>-'Assumptions'!$B$17</x:f>
        <x:v>-20</x:v>
      </x:c>
      <x:c r="R13" s="47" t="n">
        <x:f>-'Assumptions'!$B$17</x:f>
        <x:v>-20</x:v>
      </x:c>
      <x:c r="S13" s="47" t="n">
        <x:f>-'Assumptions'!$B$17</x:f>
        <x:v>-20</x:v>
      </x:c>
      <x:c r="T13" s="47" t="n">
        <x:f>-'Assumptions'!$B$17</x:f>
        <x:v>-20</x:v>
      </x:c>
      <x:c r="U13" s="47" t="n">
        <x:f>-'Assumptions'!$B$17</x:f>
        <x:v>-20</x:v>
      </x:c>
      <x:c r="V13" s="47" t="n">
        <x:f>-'Assumptions'!$B$17</x:f>
        <x:v>-20</x:v>
      </x:c>
      <x:c r="W13" s="47" t="n">
        <x:f>-'Assumptions'!$B$17</x:f>
        <x:v>-20</x:v>
      </x:c>
      <x:c r="X13" s="47" t="n">
        <x:f>-'Assumptions'!$B$17</x:f>
        <x:v>-20</x:v>
      </x:c>
      <x:c r="Y13" s="47" t="n">
        <x:f>-'Assumptions'!$B$17</x:f>
        <x:v>-20</x:v>
      </x:c>
    </x:row>
    <x:row r="14">
      <x:c r="A14" s="51" t="str">
        <x:v>Operating income</x:v>
      </x:c>
      <x:c r="B14" s="52" t="n">
        <x:f>SUM(B10,B12:B13)</x:f>
        <x:v>-65.20000000000005</x:v>
      </x:c>
      <x:c r="C14" s="52" t="n">
        <x:f>SUM(C10,C12:C13)</x:f>
        <x:v>40.63999999999987</x:v>
      </x:c>
      <x:c r="D14" s="52" t="n">
        <x:f>SUM(D10,D12:D13)</x:f>
        <x:v>125.3119999999999</x:v>
      </x:c>
      <x:c r="E14" s="52" t="n">
        <x:f>SUM(E10,E12:E13)</x:f>
        <x:v>197.01859999999988</x:v>
      </x:c>
      <x:c r="F14" s="52" t="n">
        <x:f>SUM(F10,F12:F13)</x:f>
        <x:v>261.13118</x:v>
      </x:c>
      <x:c r="G14" s="52" t="n">
        <x:f>SUM(G10,G12:G13)</x:f>
        <x:v>321.18281149999984</x:v>
      </x:c>
      <x:c r="H14" s="52" t="n">
        <x:f>SUM(H10,H12:H13)</x:f>
        <x:v>379.5137491999999</x:v>
      </x:c>
      <x:c r="I14" s="52" t="n">
        <x:f>SUM(I10,I12:I13)</x:f>
        <x:v>437.6911047912504</x:v>
      </x:c>
      <x:c r="J14" s="52" t="n">
        <x:f>SUM(J10,J12:J13)</x:f>
        <x:v>496.78174431612524</x:v>
      </x:c>
      <x:c r="K14" s="52" t="n">
        <x:f>SUM(K10,K12:K13)</x:f>
        <x:v>557.5297863173848</x:v>
      </x:c>
      <x:c r="L14" s="52" t="n">
        <x:f>SUM(L10,L12:L13)</x:f>
        <x:v>620.4720962437984</x:v>
      </x:c>
      <x:c r="M14" s="52" t="n">
        <x:f>SUM(M10,M12:M13)</x:f>
        <x:v>686.0134844528425</x:v>
      </x:c>
      <x:c r="N14" s="52" t="n">
        <x:f>SUM(N10,N12:N13)</x:f>
        <x:v>754.4757178834395</x:v>
      </x:c>
      <x:c r="O14" s="52" t="n">
        <x:f>SUM(O10,O12:O13)</x:f>
        <x:v>826.1295172627829</x:v>
      </x:c>
      <x:c r="P14" s="52" t="n">
        <x:f>SUM(P10,P12:P13)</x:f>
        <x:v>901.2155018912827</x:v>
      </x:c>
      <x:c r="Q14" s="52" t="n">
        <x:f>SUM(Q10,Q12:Q13)</x:f>
        <x:v>979.9579576833316</x:v>
      </x:c>
      <x:c r="R14" s="52" t="n">
        <x:f>SUM(R10,R12:R13)</x:f>
        <x:v>1062.5739480208633</x:v>
      </x:c>
      <x:c r="S14" s="52" t="n">
        <x:f>SUM(S10,S12:S13)</x:f>
        <x:v>1149.279405516594</x:v>
      </x:c>
      <x:c r="T14" s="52" t="n">
        <x:f>SUM(T10,T12:T13)</x:f>
        <x:v>1240.2932698539705</x:v>
      </x:c>
      <x:c r="U14" s="52" t="n">
        <x:f>SUM(U10,U12:U13)</x:f>
        <x:v>1335.8403644866744</x:v>
      </x:c>
      <x:c r="V14" s="52" t="n">
        <x:f>SUM(V10,V12:V13)</x:f>
        <x:v>1436.1534629520115</x:v>
      </x:c>
      <x:c r="W14" s="52" t="n">
        <x:f>SUM(W10,W12:W13)</x:f>
        <x:v>1541.4748382562648</x:v>
      </x:c>
      <x:c r="X14" s="52" t="n">
        <x:f>SUM(X10,X12:X13)</x:f>
        <x:v>1652.0574865709023</x:v>
      </x:c>
      <x:c r="Y14" s="52" t="n">
        <x:f>SUM(Y10,Y12:Y13)</x:f>
        <x:v>1768.1661500606333</x:v>
      </x:c>
    </x:row>
    <x:row r="15">
      <x:c r="A15" s="45" t="str">
        <x:v>Operating margin</x:v>
      </x:c>
      <x:c r="B15" s="48" t="n">
        <x:f>IF(B8=0,0,B14/B8)</x:f>
        <x:v>-0.07761904761904767</x:v>
      </x:c>
      <x:c r="C15" s="48" t="n">
        <x:f>IF(C8=0,0,C14/C8)</x:f>
        <x:v>0.04117527862208701</x:v>
      </x:c>
      <x:c r="D15" s="48" t="n">
        <x:f>IF(D8=0,0,D14/D8)</x:f>
        <x:v>0.11344559116422226</x:v>
      </x:c>
      <x:c r="E15" s="48" t="n">
        <x:f>IF(E8=0,0,E14/E8)</x:f>
        <x:v>0.16361055229956997</x:v>
      </x:c>
      <x:c r="F15" s="48" t="n">
        <x:f>IF(F8=0,0,F14/F8)</x:f>
        <x:v>0.20192047440619482</x:v>
      </x:c>
      <x:c r="G15" s="48" t="n">
        <x:f>IF(G8=0,0,G14/G8)</x:f>
        <x:v>0.233308751520859</x:v>
      </x:c>
      <x:c r="H15" s="48" t="n">
        <x:f>IF(H8=0,0,H14/H8)</x:f>
        <x:v>0.2603585704639761</x:v>
      </x:c>
      <x:c r="I15" s="48" t="n">
        <x:f>IF(I8=0,0,I14/I8)</x:f>
        <x:v>0.2844995270672409</x:v>
      </x:c>
      <x:c r="J15" s="48" t="n">
        <x:f>IF(J8=0,0,J14/J8)</x:f>
        <x:v>0.3065550670894799</x:v>
      </x:c>
      <x:c r="K15" s="48" t="n">
        <x:f>IF(K8=0,0,K14/K8)</x:f>
        <x:v>0.32701564607469924</x:v>
      </x:c>
      <x:c r="L15" s="48" t="n">
        <x:f>IF(L8=0,0,L14/L8)</x:f>
        <x:v>0.34618331585461565</x:v>
      </x:c>
      <x:c r="M15" s="48" t="n">
        <x:f>IF(M8=0,0,M14/M8)</x:f>
        <x:v>0.36425132527745435</x:v>
      </x:c>
      <x:c r="N15" s="48" t="n">
        <x:f>IF(N8=0,0,N14/N8)</x:f>
        <x:v>0.3813490886901357</x:v>
      </x:c>
      <x:c r="O15" s="48" t="n">
        <x:f>IF(O8=0,0,O14/O8)</x:f>
        <x:v>0.3975680217294514</x:v>
      </x:c>
      <x:c r="P15" s="48" t="n">
        <x:f>IF(P8=0,0,P14/P8)</x:f>
        <x:v>0.4129765525993526</x:v>
      </x:c>
      <x:c r="Q15" s="48" t="n">
        <x:f>IF(Q8=0,0,Q14/Q8)</x:f>
        <x:v>0.42762891396497954</x:v>
      </x:c>
      <x:c r="R15" s="48" t="n">
        <x:f>IF(R8=0,0,R14/R8)</x:f>
        <x:v>0.4415703257277703</x:v>
      </x:c>
      <x:c r="S15" s="48" t="n">
        <x:f>IF(S8=0,0,S14/S8)</x:f>
        <x:v>0.4548400698995325</x:v>
      </x:c>
      <x:c r="T15" s="48" t="n">
        <x:f>IF(T8=0,0,T14/T8)</x:f>
        <x:v>0.46747332903660577</x:v>
      </x:c>
      <x:c r="U15" s="48" t="n">
        <x:f>IF(U8=0,0,U14/U8)</x:f>
        <x:v>0.4795022971215091</x:v>
      </x:c>
      <x:c r="V15" s="48" t="n">
        <x:f>IF(V8=0,0,V14/V8)</x:f>
        <x:v>0.4909568611757939</x:v>
      </x:c>
      <x:c r="W15" s="48" t="n">
        <x:f>IF(W8=0,0,W14/W8)</x:f>
        <x:v>0.5018650288689833</x:v>
      </x:c>
      <x:c r="X15" s="48" t="n">
        <x:f>IF(X8=0,0,X14/X8)</x:f>
        <x:v>0.5122532052759882</x:v>
      </x:c>
      <x:c r="Y15" s="48" t="n">
        <x:f>IF(Y8=0,0,Y14/Y8)</x:f>
        <x:v>0.522146379569742</x:v>
      </x:c>
    </x:row>
    <x:row r="16">
      <x:c r="A16" s="45" t="str">
        <x:v>Interest expense</x:v>
      </x:c>
      <x:c r="B16" s="47" t="n">
        <x:f>-'Assumptions'!$B$22</x:f>
        <x:v>-10</x:v>
      </x:c>
      <x:c r="C16" s="47" t="n">
        <x:f>-'Assumptions'!$B$22</x:f>
        <x:v>-10</x:v>
      </x:c>
      <x:c r="D16" s="47" t="n">
        <x:f>-'Assumptions'!$B$22</x:f>
        <x:v>-10</x:v>
      </x:c>
      <x:c r="E16" s="47" t="n">
        <x:f>-'Assumptions'!$B$22</x:f>
        <x:v>-10</x:v>
      </x:c>
      <x:c r="F16" s="47" t="n">
        <x:f>-'Assumptions'!$B$22</x:f>
        <x:v>-10</x:v>
      </x:c>
      <x:c r="G16" s="47" t="n">
        <x:f>-'Assumptions'!$B$22</x:f>
        <x:v>-10</x:v>
      </x:c>
      <x:c r="H16" s="47" t="n">
        <x:f>-'Assumptions'!$B$22</x:f>
        <x:v>-10</x:v>
      </x:c>
      <x:c r="I16" s="47" t="n">
        <x:f>-'Assumptions'!$B$22</x:f>
        <x:v>-10</x:v>
      </x:c>
      <x:c r="J16" s="47" t="n">
        <x:f>-'Assumptions'!$B$22</x:f>
        <x:v>-10</x:v>
      </x:c>
      <x:c r="K16" s="47" t="n">
        <x:f>-'Assumptions'!$B$22</x:f>
        <x:v>-10</x:v>
      </x:c>
      <x:c r="L16" s="47" t="n">
        <x:f>-'Assumptions'!$B$22</x:f>
        <x:v>-10</x:v>
      </x:c>
      <x:c r="M16" s="47" t="n">
        <x:f>-'Assumptions'!$B$22</x:f>
        <x:v>-10</x:v>
      </x:c>
      <x:c r="N16" s="47" t="n">
        <x:f>-'Assumptions'!$B$22</x:f>
        <x:v>-10</x:v>
      </x:c>
      <x:c r="O16" s="47" t="n">
        <x:f>-'Assumptions'!$B$22</x:f>
        <x:v>-10</x:v>
      </x:c>
      <x:c r="P16" s="47" t="n">
        <x:f>-'Assumptions'!$B$22</x:f>
        <x:v>-10</x:v>
      </x:c>
      <x:c r="Q16" s="47" t="n">
        <x:f>-'Assumptions'!$B$22</x:f>
        <x:v>-10</x:v>
      </x:c>
      <x:c r="R16" s="47" t="n">
        <x:f>-'Assumptions'!$B$22</x:f>
        <x:v>-10</x:v>
      </x:c>
      <x:c r="S16" s="47" t="n">
        <x:f>-'Assumptions'!$B$22</x:f>
        <x:v>-10</x:v>
      </x:c>
      <x:c r="T16" s="47" t="n">
        <x:f>-'Assumptions'!$B$22</x:f>
        <x:v>-10</x:v>
      </x:c>
      <x:c r="U16" s="47" t="n">
        <x:f>-'Assumptions'!$B$22</x:f>
        <x:v>-10</x:v>
      </x:c>
      <x:c r="V16" s="47" t="n">
        <x:f>-'Assumptions'!$B$22</x:f>
        <x:v>-10</x:v>
      </x:c>
      <x:c r="W16" s="47" t="n">
        <x:f>-'Assumptions'!$B$22</x:f>
        <x:v>-10</x:v>
      </x:c>
      <x:c r="X16" s="47" t="n">
        <x:f>-'Assumptions'!$B$22</x:f>
        <x:v>-10</x:v>
      </x:c>
      <x:c r="Y16" s="47" t="n">
        <x:f>-'Assumptions'!$B$22</x:f>
        <x:v>-10</x:v>
      </x:c>
    </x:row>
    <x:row r="17">
      <x:c r="A17" s="45" t="str">
        <x:v>Pre-tax income</x:v>
      </x:c>
      <x:c r="B17" s="47" t="n">
        <x:f>SUM(B14,B16)</x:f>
        <x:v>-75.20000000000005</x:v>
      </x:c>
      <x:c r="C17" s="47" t="n">
        <x:f>SUM(C14,C16)</x:f>
        <x:v>30.639999999999873</x:v>
      </x:c>
      <x:c r="D17" s="47" t="n">
        <x:f>SUM(D14,D16)</x:f>
        <x:v>115.3119999999999</x:v>
      </x:c>
      <x:c r="E17" s="47" t="n">
        <x:f>SUM(E14,E16)</x:f>
        <x:v>187.01859999999988</x:v>
      </x:c>
      <x:c r="F17" s="47" t="n">
        <x:f>SUM(F14,F16)</x:f>
        <x:v>251.13117999999997</x:v>
      </x:c>
      <x:c r="G17" s="47" t="n">
        <x:f>SUM(G14,G16)</x:f>
        <x:v>311.18281149999984</x:v>
      </x:c>
      <x:c r="H17" s="47" t="n">
        <x:f>SUM(H14,H16)</x:f>
        <x:v>369.5137491999999</x:v>
      </x:c>
      <x:c r="I17" s="47" t="n">
        <x:f>SUM(I14,I16)</x:f>
        <x:v>427.6911047912504</x:v>
      </x:c>
      <x:c r="J17" s="47" t="n">
        <x:f>SUM(J14,J16)</x:f>
        <x:v>486.78174431612524</x:v>
      </x:c>
      <x:c r="K17" s="47" t="n">
        <x:f>SUM(K14,K16)</x:f>
        <x:v>547.5297863173848</x:v>
      </x:c>
      <x:c r="L17" s="47" t="n">
        <x:f>SUM(L14,L16)</x:f>
        <x:v>610.4720962437984</x:v>
      </x:c>
      <x:c r="M17" s="47" t="n">
        <x:f>SUM(M14,M16)</x:f>
        <x:v>676.0134844528425</x:v>
      </x:c>
      <x:c r="N17" s="47" t="n">
        <x:f>SUM(N14,N16)</x:f>
        <x:v>744.4757178834395</x:v>
      </x:c>
      <x:c r="O17" s="47" t="n">
        <x:f>SUM(O14,O16)</x:f>
        <x:v>816.1295172627829</x:v>
      </x:c>
      <x:c r="P17" s="47" t="n">
        <x:f>SUM(P14,P16)</x:f>
        <x:v>891.2155018912827</x:v>
      </x:c>
      <x:c r="Q17" s="47" t="n">
        <x:f>SUM(Q14,Q16)</x:f>
        <x:v>969.9579576833316</x:v>
      </x:c>
      <x:c r="R17" s="47" t="n">
        <x:f>SUM(R14,R16)</x:f>
        <x:v>1052.5739480208633</x:v>
      </x:c>
      <x:c r="S17" s="47" t="n">
        <x:f>SUM(S14,S16)</x:f>
        <x:v>1139.279405516594</x:v>
      </x:c>
      <x:c r="T17" s="47" t="n">
        <x:f>SUM(T14,T16)</x:f>
        <x:v>1230.2932698539705</x:v>
      </x:c>
      <x:c r="U17" s="47" t="n">
        <x:f>SUM(U14,U16)</x:f>
        <x:v>1325.8403644866744</x:v>
      </x:c>
      <x:c r="V17" s="47" t="n">
        <x:f>SUM(V14,V16)</x:f>
        <x:v>1426.1534629520115</x:v>
      </x:c>
      <x:c r="W17" s="47" t="n">
        <x:f>SUM(W14,W16)</x:f>
        <x:v>1531.4748382562648</x:v>
      </x:c>
      <x:c r="X17" s="47" t="n">
        <x:f>SUM(X14,X16)</x:f>
        <x:v>1642.0574865709023</x:v>
      </x:c>
      <x:c r="Y17" s="47" t="n">
        <x:f>SUM(Y14,Y16)</x:f>
        <x:v>1758.1661500606333</x:v>
      </x:c>
    </x:row>
    <x:row r="18">
      <x:c r="A18" s="45" t="str">
        <x:v>Management tax</x:v>
      </x:c>
      <x:c r="B18" s="47" t="n">
        <x:f>-MAX(0,B17*'Assumptions'!$B$23)</x:f>
        <x:v>0</x:v>
      </x:c>
      <x:c r="C18" s="47" t="n">
        <x:f>-MAX(0,C17*'Assumptions'!$B$23)</x:f>
        <x:v>0</x:v>
      </x:c>
      <x:c r="D18" s="47" t="n">
        <x:f>-MAX(0,D17*'Assumptions'!$B$23)</x:f>
        <x:v>0</x:v>
      </x:c>
      <x:c r="E18" s="47" t="n">
        <x:f>-MAX(0,E17*'Assumptions'!$B$23)</x:f>
        <x:v>0</x:v>
      </x:c>
      <x:c r="F18" s="47" t="n">
        <x:f>-MAX(0,F17*'Assumptions'!$B$23)</x:f>
        <x:v>0</x:v>
      </x:c>
      <x:c r="G18" s="47" t="n">
        <x:f>-MAX(0,G17*'Assumptions'!$B$23)</x:f>
        <x:v>0</x:v>
      </x:c>
      <x:c r="H18" s="47" t="n">
        <x:f>-MAX(0,H17*'Assumptions'!$B$23)</x:f>
        <x:v>0</x:v>
      </x:c>
      <x:c r="I18" s="47" t="n">
        <x:f>-MAX(0,I17*'Assumptions'!$B$23)</x:f>
        <x:v>0</x:v>
      </x:c>
      <x:c r="J18" s="47" t="n">
        <x:f>-MAX(0,J17*'Assumptions'!$B$23)</x:f>
        <x:v>0</x:v>
      </x:c>
      <x:c r="K18" s="47" t="n">
        <x:f>-MAX(0,K17*'Assumptions'!$B$23)</x:f>
        <x:v>0</x:v>
      </x:c>
      <x:c r="L18" s="47" t="n">
        <x:f>-MAX(0,L17*'Assumptions'!$B$23)</x:f>
        <x:v>0</x:v>
      </x:c>
      <x:c r="M18" s="47" t="n">
        <x:f>-MAX(0,M17*'Assumptions'!$B$23)</x:f>
        <x:v>0</x:v>
      </x:c>
      <x:c r="N18" s="47" t="n">
        <x:f>-MAX(0,N17*'Assumptions'!$B$23)</x:f>
        <x:v>0</x:v>
      </x:c>
      <x:c r="O18" s="47" t="n">
        <x:f>-MAX(0,O17*'Assumptions'!$B$23)</x:f>
        <x:v>0</x:v>
      </x:c>
      <x:c r="P18" s="47" t="n">
        <x:f>-MAX(0,P17*'Assumptions'!$B$23)</x:f>
        <x:v>0</x:v>
      </x:c>
      <x:c r="Q18" s="47" t="n">
        <x:f>-MAX(0,Q17*'Assumptions'!$B$23)</x:f>
        <x:v>0</x:v>
      </x:c>
      <x:c r="R18" s="47" t="n">
        <x:f>-MAX(0,R17*'Assumptions'!$B$23)</x:f>
        <x:v>0</x:v>
      </x:c>
      <x:c r="S18" s="47" t="n">
        <x:f>-MAX(0,S17*'Assumptions'!$B$23)</x:f>
        <x:v>0</x:v>
      </x:c>
      <x:c r="T18" s="47" t="n">
        <x:f>-MAX(0,T17*'Assumptions'!$B$23)</x:f>
        <x:v>0</x:v>
      </x:c>
      <x:c r="U18" s="47" t="n">
        <x:f>-MAX(0,U17*'Assumptions'!$B$23)</x:f>
        <x:v>0</x:v>
      </x:c>
      <x:c r="V18" s="47" t="n">
        <x:f>-MAX(0,V17*'Assumptions'!$B$23)</x:f>
        <x:v>0</x:v>
      </x:c>
      <x:c r="W18" s="47" t="n">
        <x:f>-MAX(0,W17*'Assumptions'!$B$23)</x:f>
        <x:v>0</x:v>
      </x:c>
      <x:c r="X18" s="47" t="n">
        <x:f>-MAX(0,X17*'Assumptions'!$B$23)</x:f>
        <x:v>0</x:v>
      </x:c>
      <x:c r="Y18" s="47" t="n">
        <x:f>-MAX(0,Y17*'Assumptions'!$B$23)</x:f>
        <x:v>0</x:v>
      </x:c>
    </x:row>
    <x:row r="19">
      <x:c r="A19" s="51" t="str">
        <x:v>Net income</x:v>
      </x:c>
      <x:c r="B19" s="52" t="n">
        <x:f>SUM(B17:B18)</x:f>
        <x:v>-75.20000000000005</x:v>
      </x:c>
      <x:c r="C19" s="52" t="n">
        <x:f>SUM(C17:C18)</x:f>
        <x:v>30.639999999999873</x:v>
      </x:c>
      <x:c r="D19" s="52" t="n">
        <x:f>SUM(D17:D18)</x:f>
        <x:v>115.3119999999999</x:v>
      </x:c>
      <x:c r="E19" s="52" t="n">
        <x:f>SUM(E17:E18)</x:f>
        <x:v>187.01859999999988</x:v>
      </x:c>
      <x:c r="F19" s="52" t="n">
        <x:f>SUM(F17:F18)</x:f>
        <x:v>251.13117999999997</x:v>
      </x:c>
      <x:c r="G19" s="52" t="n">
        <x:f>SUM(G17:G18)</x:f>
        <x:v>311.18281149999984</x:v>
      </x:c>
      <x:c r="H19" s="52" t="n">
        <x:f>SUM(H17:H18)</x:f>
        <x:v>369.5137491999999</x:v>
      </x:c>
      <x:c r="I19" s="52" t="n">
        <x:f>SUM(I17:I18)</x:f>
        <x:v>427.6911047912504</x:v>
      </x:c>
      <x:c r="J19" s="52" t="n">
        <x:f>SUM(J17:J18)</x:f>
        <x:v>486.78174431612524</x:v>
      </x:c>
      <x:c r="K19" s="52" t="n">
        <x:f>SUM(K17:K18)</x:f>
        <x:v>547.5297863173848</x:v>
      </x:c>
      <x:c r="L19" s="52" t="n">
        <x:f>SUM(L17:L18)</x:f>
        <x:v>610.4720962437984</x:v>
      </x:c>
      <x:c r="M19" s="52" t="n">
        <x:f>SUM(M17:M18)</x:f>
        <x:v>676.0134844528425</x:v>
      </x:c>
      <x:c r="N19" s="52" t="n">
        <x:f>SUM(N17:N18)</x:f>
        <x:v>744.4757178834395</x:v>
      </x:c>
      <x:c r="O19" s="52" t="n">
        <x:f>SUM(O17:O18)</x:f>
        <x:v>816.1295172627829</x:v>
      </x:c>
      <x:c r="P19" s="52" t="n">
        <x:f>SUM(P17:P18)</x:f>
        <x:v>891.2155018912827</x:v>
      </x:c>
      <x:c r="Q19" s="52" t="n">
        <x:f>SUM(Q17:Q18)</x:f>
        <x:v>969.9579576833316</x:v>
      </x:c>
      <x:c r="R19" s="52" t="n">
        <x:f>SUM(R17:R18)</x:f>
        <x:v>1052.5739480208633</x:v>
      </x:c>
      <x:c r="S19" s="52" t="n">
        <x:f>SUM(S17:S18)</x:f>
        <x:v>1139.279405516594</x:v>
      </x:c>
      <x:c r="T19" s="52" t="n">
        <x:f>SUM(T17:T18)</x:f>
        <x:v>1230.2932698539705</x:v>
      </x:c>
      <x:c r="U19" s="52" t="n">
        <x:f>SUM(U17:U18)</x:f>
        <x:v>1325.8403644866744</x:v>
      </x:c>
      <x:c r="V19" s="52" t="n">
        <x:f>SUM(V17:V18)</x:f>
        <x:v>1426.1534629520115</x:v>
      </x:c>
      <x:c r="W19" s="52" t="n">
        <x:f>SUM(W17:W18)</x:f>
        <x:v>1531.4748382562648</x:v>
      </x:c>
      <x:c r="X19" s="52" t="n">
        <x:f>SUM(X17:X18)</x:f>
        <x:v>1642.0574865709023</x:v>
      </x:c>
      <x:c r="Y19" s="52" t="n">
        <x:f>SUM(Y17:Y18)</x:f>
        <x:v>1758.1661500606333</x:v>
      </x:c>
    </x:row>
  </x:sheetData>
  <x:mergeCells>
    <x:mergeCell ref="A1:Y2"/>
    <x:mergeCell ref="A4:Y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.5" hidden="0" customWidth="1"/>
    <x:col min="3" max="3" width="10.5" hidden="0" customWidth="1"/>
    <x:col min="4" max="4" width="10.5" hidden="0" customWidth="1"/>
    <x:col min="5" max="5" width="10.5" hidden="0" customWidth="1"/>
    <x:col min="6" max="6" width="10.5" hidden="0" customWidth="1"/>
    <x:col min="7" max="7" width="10.5" hidden="0" customWidth="1"/>
    <x:col min="8" max="8" width="10.5" hidden="0" customWidth="1"/>
    <x:col min="9" max="9" width="10.5" hidden="0" customWidth="1"/>
    <x:col min="10" max="10" width="10.5" hidden="0" customWidth="1"/>
    <x:col min="11" max="11" width="10.5" hidden="0" customWidth="1"/>
    <x:col min="12" max="12" width="10.5" hidden="0" customWidth="1"/>
    <x:col min="13" max="13" width="10.5" hidden="0" customWidth="1"/>
    <x:col min="14" max="14" width="10.5" hidden="0" customWidth="1"/>
    <x:col min="15" max="15" width="10.5" hidden="0" customWidth="1"/>
    <x:col min="16" max="16" width="10.5" hidden="0" customWidth="1"/>
    <x:col min="17" max="17" width="10.5" hidden="0" customWidth="1"/>
    <x:col min="18" max="18" width="10.5" hidden="0" customWidth="1"/>
    <x:col min="19" max="19" width="10.5" hidden="0" customWidth="1"/>
    <x:col min="20" max="20" width="10.5" hidden="0" customWidth="1"/>
    <x:col min="21" max="21" width="10.5" hidden="0" customWidth="1"/>
    <x:col min="22" max="22" width="10.5" hidden="0" customWidth="1"/>
    <x:col min="23" max="23" width="10.5" hidden="0" customWidth="1"/>
    <x:col min="24" max="24" width="10.5" hidden="0" customWidth="1"/>
    <x:col min="25" max="25" width="10.5" hidden="0" customWidth="1"/>
  </x:cols>
  <x:sheetData>
    <x:row r="1" ht="26" customHeight="1">
      <x:c r="A1" s="3" t="str">
        <x:v>Balance Sheet</x:v>
      </x:c>
      <x:c r="B1" s="3" t="str">
        <x:v>Balance Sheet</x:v>
      </x:c>
      <x:c r="C1" s="3" t="str">
        <x:v>Balance Sheet</x:v>
      </x:c>
      <x:c r="D1" s="3" t="str">
        <x:v>Balance Sheet</x:v>
      </x:c>
      <x:c r="E1" s="3" t="str">
        <x:v>Balance Sheet</x:v>
      </x:c>
      <x:c r="F1" s="3" t="str">
        <x:v>Balance Sheet</x:v>
      </x:c>
      <x:c r="G1" s="3" t="str">
        <x:v>Balance Sheet</x:v>
      </x:c>
      <x:c r="H1" s="3" t="str">
        <x:v>Balance Sheet</x:v>
      </x:c>
      <x:c r="I1" s="3" t="str">
        <x:v>Balance Sheet</x:v>
      </x:c>
      <x:c r="J1" s="3" t="str">
        <x:v>Balance Sheet</x:v>
      </x:c>
      <x:c r="K1" s="3" t="str">
        <x:v>Balance Sheet</x:v>
      </x:c>
      <x:c r="L1" s="3" t="str">
        <x:v>Balance Sheet</x:v>
      </x:c>
      <x:c r="M1" s="3" t="str">
        <x:v>Balance Sheet</x:v>
      </x:c>
      <x:c r="N1" s="3" t="str">
        <x:v>Balance Sheet</x:v>
      </x:c>
      <x:c r="O1" s="3" t="str">
        <x:v>Balance Sheet</x:v>
      </x:c>
      <x:c r="P1" s="3" t="str">
        <x:v>Balance Sheet</x:v>
      </x:c>
      <x:c r="Q1" s="3" t="str">
        <x:v>Balance Sheet</x:v>
      </x:c>
      <x:c r="R1" s="3" t="str">
        <x:v>Balance Sheet</x:v>
      </x:c>
      <x:c r="S1" s="3" t="str">
        <x:v>Balance Sheet</x:v>
      </x:c>
      <x:c r="T1" s="3" t="str">
        <x:v>Balance Sheet</x:v>
      </x:c>
      <x:c r="U1" s="3" t="str">
        <x:v>Balance Sheet</x:v>
      </x:c>
      <x:c r="V1" s="3" t="str">
        <x:v>Balance Sheet</x:v>
      </x:c>
      <x:c r="W1" s="3" t="str">
        <x:v>Balance Sheet</x:v>
      </x:c>
      <x:c r="X1" s="3" t="str">
        <x:v>Balance Sheet</x:v>
      </x:c>
      <x:c r="Y1" s="3" t="str">
        <x:v>Balance Sheet</x:v>
      </x:c>
    </x:row>
    <x:row r="2" ht="26" customHeight="1">
      <x:c r="A2" s="3" t="str">
        <x:v>Balance Sheet</x:v>
      </x:c>
      <x:c r="B2" s="3" t="str">
        <x:v>Balance Sheet</x:v>
      </x:c>
      <x:c r="C2" s="3" t="str">
        <x:v>Balance Sheet</x:v>
      </x:c>
      <x:c r="D2" s="3" t="str">
        <x:v>Balance Sheet</x:v>
      </x:c>
      <x:c r="E2" s="3" t="str">
        <x:v>Balance Sheet</x:v>
      </x:c>
      <x:c r="F2" s="3" t="str">
        <x:v>Balance Sheet</x:v>
      </x:c>
      <x:c r="G2" s="3" t="str">
        <x:v>Balance Sheet</x:v>
      </x:c>
      <x:c r="H2" s="3" t="str">
        <x:v>Balance Sheet</x:v>
      </x:c>
      <x:c r="I2" s="3" t="str">
        <x:v>Balance Sheet</x:v>
      </x:c>
      <x:c r="J2" s="3" t="str">
        <x:v>Balance Sheet</x:v>
      </x:c>
      <x:c r="K2" s="3" t="str">
        <x:v>Balance Sheet</x:v>
      </x:c>
      <x:c r="L2" s="3" t="str">
        <x:v>Balance Sheet</x:v>
      </x:c>
      <x:c r="M2" s="3" t="str">
        <x:v>Balance Sheet</x:v>
      </x:c>
      <x:c r="N2" s="3" t="str">
        <x:v>Balance Sheet</x:v>
      </x:c>
      <x:c r="O2" s="3" t="str">
        <x:v>Balance Sheet</x:v>
      </x:c>
      <x:c r="P2" s="3" t="str">
        <x:v>Balance Sheet</x:v>
      </x:c>
      <x:c r="Q2" s="3" t="str">
        <x:v>Balance Sheet</x:v>
      </x:c>
      <x:c r="R2" s="3" t="str">
        <x:v>Balance Sheet</x:v>
      </x:c>
      <x:c r="S2" s="3" t="str">
        <x:v>Balance Sheet</x:v>
      </x:c>
      <x:c r="T2" s="3" t="str">
        <x:v>Balance Sheet</x:v>
      </x:c>
      <x:c r="U2" s="3" t="str">
        <x:v>Balance Sheet</x:v>
      </x:c>
      <x:c r="V2" s="3" t="str">
        <x:v>Balance Sheet</x:v>
      </x:c>
      <x:c r="W2" s="3" t="str">
        <x:v>Balance Sheet</x:v>
      </x:c>
      <x:c r="X2" s="3" t="str">
        <x:v>Balance Sheet</x:v>
      </x:c>
      <x:c r="Y2" s="3" t="str">
        <x:v>Balance Sheet</x:v>
      </x:c>
    </x:row>
    <x:row r="4">
      <x:c r="A4" s="23" t="str">
        <x:v>Line item</x:v>
      </x:c>
      <x:c r="B4" s="42" t="n">
        <x:v>46023</x:v>
      </x:c>
      <x:c r="C4" s="42" t="n">
        <x:v>46054</x:v>
      </x:c>
      <x:c r="D4" s="42" t="n">
        <x:v>46082</x:v>
      </x:c>
      <x:c r="E4" s="42" t="n">
        <x:v>46113</x:v>
      </x:c>
      <x:c r="F4" s="42" t="n">
        <x:v>46143</x:v>
      </x:c>
      <x:c r="G4" s="42" t="n">
        <x:v>46174</x:v>
      </x:c>
      <x:c r="H4" s="42" t="n">
        <x:v>46204</x:v>
      </x:c>
      <x:c r="I4" s="42" t="n">
        <x:v>46235</x:v>
      </x:c>
      <x:c r="J4" s="42" t="n">
        <x:v>46266</x:v>
      </x:c>
      <x:c r="K4" s="42" t="n">
        <x:v>46296</x:v>
      </x:c>
      <x:c r="L4" s="42" t="n">
        <x:v>46327</x:v>
      </x:c>
      <x:c r="M4" s="42" t="n">
        <x:v>46357</x:v>
      </x:c>
      <x:c r="N4" s="42" t="n">
        <x:v>46388</x:v>
      </x:c>
      <x:c r="O4" s="42" t="n">
        <x:v>46419</x:v>
      </x:c>
      <x:c r="P4" s="42" t="n">
        <x:v>46447</x:v>
      </x:c>
      <x:c r="Q4" s="42" t="n">
        <x:v>46478</x:v>
      </x:c>
      <x:c r="R4" s="42" t="n">
        <x:v>46508</x:v>
      </x:c>
      <x:c r="S4" s="42" t="n">
        <x:v>46539</x:v>
      </x:c>
      <x:c r="T4" s="42" t="n">
        <x:v>46569</x:v>
      </x:c>
      <x:c r="U4" s="42" t="n">
        <x:v>46600</x:v>
      </x:c>
      <x:c r="V4" s="42" t="n">
        <x:v>46631</x:v>
      </x:c>
      <x:c r="W4" s="42" t="n">
        <x:v>46661</x:v>
      </x:c>
      <x:c r="X4" s="42" t="n">
        <x:v>46692</x:v>
      </x:c>
      <x:c r="Y4" s="43" t="n">
        <x:v>46722</x:v>
      </x:c>
    </x:row>
    <x:row r="6">
      <x:c r="A6" t="str">
        <x:v>Cash</x:v>
      </x:c>
      <x:c r="B6" s="47" t="n">
        <x:f>'Cash Flow'!B20</x:f>
        <x:v>6251.1</x:v>
      </x:c>
      <x:c r="C6" s="47" t="n">
        <x:f>'Cash Flow'!C20</x:f>
        <x:v>6523.1050000000005</x:v>
      </x:c>
      <x:c r="D6" s="47" t="n">
        <x:f>'Cash Flow'!D20</x:f>
        <x:v>6822.190250000001</x:v>
      </x:c>
      <x:c r="E6" s="47" t="n">
        <x:f>'Cash Flow'!E20</x:f>
        <x:v>7156.3761375</x:v>
      </x:c>
      <x:c r="F6" s="47" t="n">
        <x:f>'Cash Flow'!F20</x:f>
        <x:v>7532.455181875</x:v>
      </x:c>
      <x:c r="G6" s="47" t="n">
        <x:f>'Cash Flow'!G20</x:f>
        <x:v>7955.93390628125</x:v>
      </x:c>
      <x:c r="H6" s="47" t="n">
        <x:f>'Cash Flow'!H20</x:f>
        <x:v>12431.422805532813</x:v>
      </x:c>
      <x:c r="I6" s="47" t="n">
        <x:f>'Cash Flow'!I20</x:f>
        <x:v>12962.980947114924</x:v>
      </x:c>
      <x:c r="J6" s="47" t="n">
        <x:f>'Cash Flow'!J20</x:f>
        <x:v>13554.359371143248</x:v>
      </x:c>
      <x:c r="K6" s="47" t="n">
        <x:f>'Cash Flow'!K20</x:f>
        <x:v>14209.164583584843</x:v>
      </x:c>
      <x:c r="L6" s="47" t="n">
        <x:f>'Cash Flow'!L20</x:f>
        <x:v>14930.967791328156</x:v>
      </x:c>
      <x:c r="M6" s="47" t="n">
        <x:f>'Cash Flow'!M20</x:f>
        <x:v>15723.378729304219</x:v>
      </x:c>
      <x:c r="N6" s="47" t="n">
        <x:f>'Cash Flow'!N20</x:f>
        <x:v>16590.09664877142</x:v>
      </x:c>
      <x:c r="O6" s="47" t="n">
        <x:f>'Cash Flow'!O20</x:f>
        <x:v>17534.946651330207</x:v>
      </x:c>
      <x:c r="P6" s="47" t="n">
        <x:f>'Cash Flow'!P20</x:f>
        <x:v>18561.906677127583</x:v>
      </x:c>
      <x:c r="Q6" s="47" t="n">
        <x:f>'Cash Flow'!Q20</x:f>
        <x:v>19675.128594705355</x:v>
      </x:c>
      <x:c r="R6" s="47" t="n">
        <x:f>'Cash Flow'!R20</x:f>
        <x:v>20878.955637127307</x:v>
      </x:c>
      <x:c r="S6" s="47" t="n">
        <x:f>'Cash Flow'!S20</x:f>
        <x:v>22177.937650543194</x:v>
      </x:c>
      <x:c r="T6" s="47" t="n">
        <x:f>'Cash Flow'!T20</x:f>
        <x:v>23576.84511691121</x:v>
      </x:c>
      <x:c r="U6" s="47" t="n">
        <x:f>'Cash Flow'!U20</x:f>
        <x:v>25080.68258558478</x:v>
      </x:c>
      <x:c r="V6" s="47" t="n">
        <x:f>'Cash Flow'!V20</x:f>
        <x:v>26694.701936534984</x:v>
      </x:c>
      <x:c r="W6" s="47" t="n">
        <x:f>'Cash Flow'!W20</x:f>
        <x:v>28424.415760781023</x:v>
      </x:c>
      <x:c r="X6" s="47" t="n">
        <x:f>'Cash Flow'!X20</x:f>
        <x:v>30275.611054975896</x:v>
      </x:c>
      <x:c r="Y6" s="47" t="n">
        <x:f>'Cash Flow'!Y20</x:f>
        <x:v>32254.36337005929</x:v>
      </x:c>
    </x:row>
    <x:row r="7">
      <x:c r="A7" t="str">
        <x:v>Accounts receivable</x:v>
      </x:c>
      <x:c r="B7" s="47" t="n">
        <x:f>'Assumptions'!$B$6+'Income Statement'!B7-('Assumptions'!$B$6+'Income Statement'!B7)*'Assumptions'!$B$18</x:f>
        <x:v>510</x:v>
      </x:c>
      <x:c r="C7" s="47" t="n">
        <x:f>B7+'Income Statement'!C7-(B7+'Income Statement'!C7)*'Assumptions'!$B$18</x:f>
        <x:v>531</x:v>
      </x:c>
      <x:c r="D7" s="47" t="n">
        <x:f>C7+'Income Statement'!D7-(C7+'Income Statement'!D7)*'Assumptions'!$B$18</x:f>
        <x:v>556.2</x:v>
      </x:c>
      <x:c r="E7" s="47" t="n">
        <x:f>D7+'Income Statement'!E7-(D7+'Income Statement'!E7)*'Assumptions'!$B$18</x:f>
        <x:v>583.605</x:v>
      </x:c>
      <x:c r="F7" s="47" t="n">
        <x:f>E7+'Income Statement'!F7-(E7+'Income Statement'!F7)*'Assumptions'!$B$18</x:f>
        <x:v>612.6637500000002</x:v>
      </x:c>
      <x:c r="G7" s="47" t="n">
        <x:f>F7+'Income Statement'!G7-(F7+'Income Statement'!G7)*'Assumptions'!$B$18</x:f>
        <x:v>643.2604875000002</x:v>
      </x:c>
      <x:c r="H7" s="47" t="n">
        <x:f>G7+'Income Statement'!H7-(G7+'Income Statement'!H7)*'Assumptions'!$B$18</x:f>
        <x:v>675.4125768750002</x:v>
      </x:c>
      <x:c r="I7" s="47" t="n">
        <x:f>H7+'Income Statement'!I7-(H7+'Income Statement'!I7)*'Assumptions'!$B$18</x:f>
        <x:v>709.1799252187502</x:v>
      </x:c>
      <x:c r="J7" s="47" t="n">
        <x:f>I7+'Income Statement'!J7-(I7+'Income Statement'!J7)*'Assumptions'!$B$18</x:f>
        <x:v>744.6379373296877</x:v>
      </x:c>
      <x:c r="K7" s="47" t="n">
        <x:f>J7+'Income Statement'!K7-(J7+'Income Statement'!K7)*'Assumptions'!$B$18</x:f>
        <x:v>781.8695389511722</x:v>
      </x:c>
      <x:c r="L7" s="47" t="n">
        <x:f>K7+'Income Statement'!L7-(K7+'Income Statement'!L7)*'Assumptions'!$B$18</x:f>
        <x:v>820.9629273252308</x:v>
      </x:c>
      <x:c r="M7" s="47" t="n">
        <x:f>L7+'Income Statement'!M7-(L7+'Income Statement'!M7)*'Assumptions'!$B$18</x:f>
        <x:v>862.0110471194425</x:v>
      </x:c>
      <x:c r="N7" s="47" t="n">
        <x:f>M7+'Income Statement'!N7-(M7+'Income Statement'!N7)*'Assumptions'!$B$18</x:f>
        <x:v>905.1115915037999</x:v>
      </x:c>
      <x:c r="O7" s="47" t="n">
        <x:f>N7+'Income Statement'!O7-(N7+'Income Statement'!O7)*'Assumptions'!$B$18</x:f>
        <x:v>950.3671686875055</x:v>
      </x:c>
      <x:c r="P7" s="47" t="n">
        <x:f>O7+'Income Statement'!P7-(O7+'Income Statement'!P7)*'Assumptions'!$B$18</x:f>
        <x:v>997.8855264044355</x:v>
      </x:c>
      <x:c r="Q7" s="47" t="n">
        <x:f>P7+'Income Statement'!Q7-(P7+'Income Statement'!Q7)*'Assumptions'!$B$18</x:f>
        <x:v>1047.7798025094235</x:v>
      </x:c>
      <x:c r="R7" s="47" t="n">
        <x:f>Q7+'Income Statement'!R7-(Q7+'Income Statement'!R7)*'Assumptions'!$B$18</x:f>
        <x:v>1100.1687925703245</x:v>
      </x:c>
      <x:c r="S7" s="47" t="n">
        <x:f>R7+'Income Statement'!S7-(R7+'Income Statement'!S7)*'Assumptions'!$B$18</x:f>
        <x:v>1155.1772321794697</x:v>
      </x:c>
      <x:c r="T7" s="47" t="n">
        <x:f>S7+'Income Statement'!T7-(S7+'Income Statement'!T7)*'Assumptions'!$B$18</x:f>
        <x:v>1212.9360937826323</x:v>
      </x:c>
      <x:c r="U7" s="47" t="n">
        <x:f>T7+'Income Statement'!U7-(T7+'Income Statement'!U7)*'Assumptions'!$B$18</x:f>
        <x:v>1273.5828984700206</x:v>
      </x:c>
      <x:c r="V7" s="47" t="n">
        <x:f>U7+'Income Statement'!V7-(U7+'Income Statement'!V7)*'Assumptions'!$B$18</x:f>
        <x:v>1337.2620433929987</x:v>
      </x:c>
      <x:c r="W7" s="47" t="n">
        <x:f>V7+'Income Statement'!W7-(V7+'Income Statement'!W7)*'Assumptions'!$B$18</x:f>
        <x:v>1404.1251455624915</x:v>
      </x:c>
      <x:c r="X7" s="47" t="n">
        <x:f>W7+'Income Statement'!X7-(W7+'Income Statement'!X7)*'Assumptions'!$B$18</x:f>
        <x:v>1474.331402840569</x:v>
      </x:c>
      <x:c r="Y7" s="47" t="n">
        <x:f>X7+'Income Statement'!Y7-(X7+'Income Statement'!Y7)*'Assumptions'!$B$18</x:f>
        <x:v>1548.0479729825834</x:v>
      </x:c>
    </x:row>
    <x:row r="8">
      <x:c r="A8" t="str">
        <x:v>Net PPE</x:v>
      </x:c>
      <x:c r="B8" s="47" t="n">
        <x:f>'Assumptions'!$B$9+'Assumptions'!$B$20+'Income Statement'!B13</x:f>
        <x:v>220</x:v>
      </x:c>
      <x:c r="C8" s="47" t="n">
        <x:f>B8+'Assumptions'!$B$20+'Income Statement'!C13</x:f>
        <x:v>240</x:v>
      </x:c>
      <x:c r="D8" s="47" t="n">
        <x:f>C8+'Assumptions'!$B$20+'Income Statement'!D13</x:f>
        <x:v>260</x:v>
      </x:c>
      <x:c r="E8" s="47" t="n">
        <x:f>D8+'Assumptions'!$B$20+'Income Statement'!E13</x:f>
        <x:v>280</x:v>
      </x:c>
      <x:c r="F8" s="47" t="n">
        <x:f>E8+'Assumptions'!$B$20+'Income Statement'!F13</x:f>
        <x:v>300</x:v>
      </x:c>
      <x:c r="G8" s="47" t="n">
        <x:f>F8+'Assumptions'!$B$20+'Income Statement'!G13</x:f>
        <x:v>320</x:v>
      </x:c>
      <x:c r="H8" s="47" t="n">
        <x:f>G8+'Assumptions'!$B$20+'Income Statement'!H13</x:f>
        <x:v>340</x:v>
      </x:c>
      <x:c r="I8" s="47" t="n">
        <x:f>H8+'Assumptions'!$B$20+'Income Statement'!I13</x:f>
        <x:v>360</x:v>
      </x:c>
      <x:c r="J8" s="47" t="n">
        <x:f>I8+'Assumptions'!$B$20+'Income Statement'!J13</x:f>
        <x:v>380</x:v>
      </x:c>
      <x:c r="K8" s="47" t="n">
        <x:f>J8+'Assumptions'!$B$20+'Income Statement'!K13</x:f>
        <x:v>400</x:v>
      </x:c>
      <x:c r="L8" s="47" t="n">
        <x:f>K8+'Assumptions'!$B$20+'Income Statement'!L13</x:f>
        <x:v>420</x:v>
      </x:c>
      <x:c r="M8" s="47" t="n">
        <x:f>L8+'Assumptions'!$B$20+'Income Statement'!M13</x:f>
        <x:v>440</x:v>
      </x:c>
      <x:c r="N8" s="47" t="n">
        <x:f>M8+'Assumptions'!$B$20+'Income Statement'!N13</x:f>
        <x:v>460</x:v>
      </x:c>
      <x:c r="O8" s="47" t="n">
        <x:f>N8+'Assumptions'!$B$20+'Income Statement'!O13</x:f>
        <x:v>480</x:v>
      </x:c>
      <x:c r="P8" s="47" t="n">
        <x:f>O8+'Assumptions'!$B$20+'Income Statement'!P13</x:f>
        <x:v>500</x:v>
      </x:c>
      <x:c r="Q8" s="47" t="n">
        <x:f>P8+'Assumptions'!$B$20+'Income Statement'!Q13</x:f>
        <x:v>520</x:v>
      </x:c>
      <x:c r="R8" s="47" t="n">
        <x:f>Q8+'Assumptions'!$B$20+'Income Statement'!R13</x:f>
        <x:v>540</x:v>
      </x:c>
      <x:c r="S8" s="47" t="n">
        <x:f>R8+'Assumptions'!$B$20+'Income Statement'!S13</x:f>
        <x:v>560</x:v>
      </x:c>
      <x:c r="T8" s="47" t="n">
        <x:f>S8+'Assumptions'!$B$20+'Income Statement'!T13</x:f>
        <x:v>580</x:v>
      </x:c>
      <x:c r="U8" s="47" t="n">
        <x:f>T8+'Assumptions'!$B$20+'Income Statement'!U13</x:f>
        <x:v>600</x:v>
      </x:c>
      <x:c r="V8" s="47" t="n">
        <x:f>U8+'Assumptions'!$B$20+'Income Statement'!V13</x:f>
        <x:v>620</x:v>
      </x:c>
      <x:c r="W8" s="47" t="n">
        <x:f>V8+'Assumptions'!$B$20+'Income Statement'!W13</x:f>
        <x:v>640</x:v>
      </x:c>
      <x:c r="X8" s="47" t="n">
        <x:f>W8+'Assumptions'!$B$20+'Income Statement'!X13</x:f>
        <x:v>660</x:v>
      </x:c>
      <x:c r="Y8" s="47" t="n">
        <x:f>X8+'Assumptions'!$B$20+'Income Statement'!Y13</x:f>
        <x:v>680</x:v>
      </x:c>
    </x:row>
    <x:row r="9">
      <x:c r="A9" s="54" t="str">
        <x:v>Total assets</x:v>
      </x:c>
      <x:c r="B9" s="52" t="n">
        <x:f>SUM(B6:B8)</x:f>
        <x:v>6981.1</x:v>
      </x:c>
      <x:c r="C9" s="52" t="n">
        <x:f>SUM(C6:C8)</x:f>
        <x:v>7294.1050000000005</x:v>
      </x:c>
      <x:c r="D9" s="52" t="n">
        <x:f>SUM(D6:D8)</x:f>
        <x:v>7638.39025</x:v>
      </x:c>
      <x:c r="E9" s="52" t="n">
        <x:f>SUM(E6:E8)</x:f>
        <x:v>8019.981137500001</x:v>
      </x:c>
      <x:c r="F9" s="52" t="n">
        <x:f>SUM(F6:F8)</x:f>
        <x:v>8445.118931875</x:v>
      </x:c>
      <x:c r="G9" s="52" t="n">
        <x:f>SUM(G6:G8)</x:f>
        <x:v>8919.19439378125</x:v>
      </x:c>
      <x:c r="H9" s="52" t="n">
        <x:f>SUM(H6:H8)</x:f>
        <x:v>13446.835382407813</x:v>
      </x:c>
      <x:c r="I9" s="52" t="n">
        <x:f>SUM(I6:I8)</x:f>
        <x:v>14032.160872333674</x:v>
      </x:c>
      <x:c r="J9" s="52" t="n">
        <x:f>SUM(J6:J8)</x:f>
        <x:v>14678.997308472935</x:v>
      </x:c>
      <x:c r="K9" s="52" t="n">
        <x:f>SUM(K6:K8)</x:f>
        <x:v>15391.034122536015</x:v>
      </x:c>
      <x:c r="L9" s="52" t="n">
        <x:f>SUM(L6:L8)</x:f>
        <x:v>16171.930718653386</x:v>
      </x:c>
      <x:c r="M9" s="52" t="n">
        <x:f>SUM(M6:M8)</x:f>
        <x:v>17025.38977642366</x:v>
      </x:c>
      <x:c r="N9" s="52" t="n">
        <x:f>SUM(N6:N8)</x:f>
        <x:v>17955.20824027522</x:v>
      </x:c>
      <x:c r="O9" s="52" t="n">
        <x:f>SUM(O6:O8)</x:f>
        <x:v>18965.313820017713</x:v>
      </x:c>
      <x:c r="P9" s="52" t="n">
        <x:f>SUM(P6:P8)</x:f>
        <x:v>20059.79220353202</x:v>
      </x:c>
      <x:c r="Q9" s="52" t="n">
        <x:f>SUM(Q6:Q8)</x:f>
        <x:v>21242.90839721478</x:v>
      </x:c>
      <x:c r="R9" s="52" t="n">
        <x:f>SUM(R6:R8)</x:f>
        <x:v>22519.12442969763</x:v>
      </x:c>
      <x:c r="S9" s="52" t="n">
        <x:f>SUM(S6:S8)</x:f>
        <x:v>23893.114882722664</x:v>
      </x:c>
      <x:c r="T9" s="52" t="n">
        <x:f>SUM(T6:T8)</x:f>
        <x:v>25369.78121069384</x:v>
      </x:c>
      <x:c r="U9" s="52" t="n">
        <x:f>SUM(U6:U8)</x:f>
        <x:v>26954.2654840548</x:v>
      </x:c>
      <x:c r="V9" s="52" t="n">
        <x:f>SUM(V6:V8)</x:f>
        <x:v>28651.963979927983</x:v>
      </x:c>
      <x:c r="W9" s="52" t="n">
        <x:f>SUM(W6:W8)</x:f>
        <x:v>30468.540906343515</x:v>
      </x:c>
      <x:c r="X9" s="52" t="n">
        <x:f>SUM(X6:X8)</x:f>
        <x:v>32409.942457816465</x:v>
      </x:c>
      <x:c r="Y9" s="52" t="n">
        <x:f>SUM(Y6:Y8)</x:f>
        <x:v>34482.41134304187</x:v>
      </x:c>
    </x:row>
    <x:row r="10">
      <x:c r="A10" t="str">
        <x:v>Deferred revenue</x:v>
      </x:c>
      <x:c r="B10" s="47" t="n">
        <x:f>'Assumptions'!$B$8+'Income Statement'!B7-'Income Statement'!B8</x:f>
        <x:v>1560</x:v>
      </x:c>
      <x:c r="C10" s="47" t="n">
        <x:f>B10+'Income Statement'!C7-'Income Statement'!C8</x:f>
        <x:v>1833</x:v>
      </x:c>
      <x:c r="D10" s="47" t="n">
        <x:f>C10+'Income Statement'!D7-'Income Statement'!D8</x:f>
        <x:v>2051.4</x:v>
      </x:c>
      <x:c r="E10" s="47" t="n">
        <x:f>D10+'Income Statement'!E7-'Income Statement'!E8</x:f>
        <x:v>2236.3575</x:v>
      </x:c>
      <x:c r="F10" s="47" t="n">
        <x:f>E10+'Income Statement'!F7-'Income Statement'!F8</x:f>
        <x:v>2401.72725</x:v>
      </x:c>
      <x:c r="G10" s="47" t="n">
        <x:f>F10+'Income Statement'!G7-'Income Statement'!G8</x:f>
        <x:v>2556.62233125</x:v>
      </x:c>
      <x:c r="H10" s="47" t="n">
        <x:f>G10+'Income Statement'!H7-'Income Statement'!H8</x:f>
        <x:v>2707.0791150000005</x:v>
      </x:c>
      <x:c r="I10" s="47" t="n">
        <x:f>H10+'Income Statement'!I7-'Income Statement'!I8</x:f>
        <x:v>2857.1397544218758</x:v>
      </x:c>
      <x:c r="J10" s="47" t="n">
        <x:f>I10+'Income Statement'!J7-'Income Statement'!J8</x:f>
        <x:v>3009.5560865296884</x:v>
      </x:c>
      <x:c r="K10" s="47" t="n">
        <x:f>J10+'Income Statement'!K7-'Income Statement'!K8</x:f>
        <x:v>3166.2474647075405</x:v>
      </x:c>
      <x:c r="L10" s="47" t="n">
        <x:f>K10+'Income Statement'!L7-'Income Statement'!L8</x:f>
        <x:v>3328.598660946306</x:v>
      </x:c>
      <x:c r="M10" s="47" t="n">
        <x:f>L10+'Income Statement'!M7-'Income Statement'!M8</x:f>
        <x:v>3497.653828945824</x:v>
      </x:c>
      <x:c r="N10" s="47" t="n">
        <x:f>M10+'Income Statement'!N7-'Income Statement'!N8</x:f>
        <x:v>3674.2429231120473</x:v>
      </x:c>
      <x:c r="O10" s="47" t="n">
        <x:f>N10+'Income Statement'!O7-'Income Statement'!O8</x:f>
        <x:v>3859.0642310349554</x:v>
      </x:c>
      <x:c r="P10" s="47" t="n">
        <x:f>O10+'Income Statement'!P7-'Income Statement'!P8</x:f>
        <x:v>4052.738397735452</x:v>
      </x:c>
      <x:c r="Q10" s="47" t="n">
        <x:f>P10+'Income Statement'!Q7-'Income Statement'!Q8</x:f>
        <x:v>4255.843938468912</x:v>
      </x:c>
      <x:c r="R10" s="47" t="n">
        <x:f>Q10+'Income Statement'!R7-'Income Statement'!R8</x:f>
        <x:v>4468.940738942704</x:v>
      </x:c>
      <x:c r="S10" s="47" t="n">
        <x:f>R10+'Income Statement'!S7-'Income Statement'!S8</x:f>
        <x:v>4692.585768197565</x:v>
      </x:c>
      <x:c r="T10" s="47" t="n">
        <x:f>S10+'Income Statement'!T7-'Income Statement'!T8</x:f>
        <x:v>4927.343751607465</x:v>
      </x:c>
      <x:c r="U10" s="47" t="n">
        <x:f>T10+'Income Statement'!U7-'Income Statement'!U8</x:f>
        <x:v>5173.794590937852</x:v>
      </x:c>
      <x:c r="V10" s="47" t="n">
        <x:f>U10+'Income Statement'!V7-'Income Statement'!V8</x:f>
        <x:v>5432.538694122253</x:v>
      </x:c>
      <x:c r="W10" s="47" t="n">
        <x:f>V10+'Income Statement'!W7-'Income Statement'!W8</x:f>
        <x:v>5704.200971692748</x:v>
      </x:c>
      <x:c r="X10" s="47" t="n">
        <x:f>W10+'Income Statement'!X7-'Income Statement'!X8</x:f>
        <x:v>5989.433993139233</x:v>
      </x:c>
      <x:c r="Y10" s="47" t="n">
        <x:f>X10+'Income Statement'!Y7-'Income Statement'!Y8</x:f>
        <x:v>6288.920625156396</x:v>
      </x:c>
    </x:row>
    <x:row r="11">
      <x:c r="A11" t="str">
        <x:v>Accounts payable</x:v>
      </x:c>
      <x:c r="B11" s="47" t="n">
        <x:f>'Assumptions'!$B$7-'Income Statement'!B9-'Income Statement'!B12-('Assumptions'!$B$7-'Income Statement'!B9-'Income Statement'!B12)*'Assumptions'!$B$19</x:f>
        <x:v>296.29999999999995</x:v>
      </x:c>
      <x:c r="C11" s="47" t="n">
        <x:f>B11-'Income Statement'!C9-'Income Statement'!C12-(B11-'Income Statement'!C9-'Income Statement'!C12)*'Assumptions'!$B$19</x:f>
        <x:v>305.66499999999996</x:v>
      </x:c>
      <x:c r="D11" s="47" t="n">
        <x:f>C11-'Income Statement'!D9-'Income Statement'!D12-(C11-'Income Statement'!D9-'Income Statement'!D12)*'Assumptions'!$B$19</x:f>
        <x:v>316.23825</x:v>
      </x:c>
      <x:c r="E11" s="47" t="n">
        <x:f>D11-'Income Statement'!E9-'Income Statement'!E12-(D11-'Income Statement'!E9-'Income Statement'!E12)*'Assumptions'!$B$19</x:f>
        <x:v>325.8530375</x:v>
      </x:c>
      <x:c r="F11" s="47" t="n">
        <x:f>E11-'Income Statement'!F9-'Income Statement'!F12-(E11-'Income Statement'!F9-'Income Statement'!F12)*'Assumptions'!$B$19</x:f>
        <x:v>334.489901875</x:v>
      </x:c>
      <x:c r="G11" s="47" t="n">
        <x:f>F11-'Income Statement'!G9-'Income Statement'!G12-(F11-'Income Statement'!G9-'Income Statement'!G12)*'Assumptions'!$B$19</x:f>
        <x:v>342.4874710312499</x:v>
      </x:c>
      <x:c r="H11" s="47" t="n">
        <x:f>G11-'Income Statement'!H9-'Income Statement'!H12-(G11-'Income Statement'!H9-'Income Statement'!H12)*'Assumptions'!$B$19</x:f>
        <x:v>350.1579267078125</x:v>
      </x:c>
      <x:c r="I11" s="47" t="n">
        <x:f>H11-'Income Statement'!I9-'Income Statement'!I12-(H11-'Income Statement'!I9-'Income Statement'!I12)*'Assumptions'!$B$19</x:f>
        <x:v>357.73167242054706</x:v>
      </x:c>
      <x:c r="J11" s="47" t="n">
        <x:f>I11-'Income Statement'!J9-'Income Statement'!J12-(I11-'Income Statement'!J9-'Income Statement'!J12)*'Assumptions'!$B$19</x:f>
        <x:v>365.37003213587104</x:v>
      </x:c>
      <x:c r="K11" s="47" t="n">
        <x:f>J11-'Income Statement'!K9-'Income Statement'!K12-(J11-'Income Statement'!K9-'Income Statement'!K12)*'Assumptions'!$B$19</x:f>
        <x:v>373.1856817037135</x:v>
      </x:c>
      <x:c r="L11" s="47" t="n">
        <x:f>K11-'Income Statement'!L9-'Income Statement'!L12-(K11-'Income Statement'!L9-'Income Statement'!L12)*'Assumptions'!$B$19</x:f>
        <x:v>381.2589853385198</x:v>
      </x:c>
      <x:c r="M11" s="47" t="n">
        <x:f>L11-'Income Statement'!M9-'Income Statement'!M12-(L11-'Income Statement'!M9-'Income Statement'!M12)*'Assumptions'!$B$19</x:f>
        <x:v>389.6493906564342</x:v>
      </x:c>
      <x:c r="N11" s="47" t="n">
        <x:f>M11-'Income Statement'!N9-'Income Statement'!N12-(M11-'Income Statement'!N9-'Income Statement'!N12)*'Assumptions'!$B$19</x:f>
        <x:v>398.4030424583318</x:v>
      </x:c>
      <x:c r="O11" s="47" t="n">
        <x:f>N11-'Income Statement'!O9-'Income Statement'!O12-(N11-'Income Statement'!O9-'Income Statement'!O12)*'Assumptions'!$B$19</x:f>
        <x:v>407.5577970151312</x:v>
      </x:c>
      <x:c r="P11" s="47" t="n">
        <x:f>O11-'Income Statement'!P9-'Income Statement'!P12-(O11-'Income Statement'!P9-'Income Statement'!P12)*'Assumptions'!$B$19</x:f>
        <x:v>417.1465119376576</x:v>
      </x:c>
      <x:c r="Q11" s="47" t="n">
        <x:f>P11-'Income Statement'!Q9-'Income Statement'!Q12-(P11-'Income Statement'!Q9-'Income Statement'!Q12)*'Assumptions'!$B$19</x:f>
        <x:v>427.19920720362734</x:v>
      </x:c>
      <x:c r="R11" s="47" t="n">
        <x:f>Q11-'Income Statement'!R9-'Income Statement'!R12-(Q11-'Income Statement'!R9-'Income Statement'!R12)*'Assumptions'!$B$19</x:f>
        <x:v>437.7444911918242</x:v>
      </x:c>
      <x:c r="S11" s="47" t="n">
        <x:f>R11-'Income Statement'!S9-'Income Statement'!S12-(R11-'Income Statement'!S9-'Income Statement'!S12)*'Assumptions'!$B$19</x:f>
        <x:v>448.81050944540266</x:v>
      </x:c>
      <x:c r="T11" s="47" t="n">
        <x:f>S11-'Income Statement'!T9-'Income Statement'!T12-(S11-'Income Statement'!T9-'Income Statement'!T12)*'Assumptions'!$B$19</x:f>
        <x:v>460.425584152709</x:v>
      </x:c>
      <x:c r="U11" s="47" t="n">
        <x:f>T11-'Income Statement'!U9-'Income Statement'!U12-(T11-'Income Statement'!U9-'Income Statement'!U12)*'Assumptions'!$B$19</x:f>
        <x:v>472.6186536966038</x:v>
      </x:c>
      <x:c r="V11" s="47" t="n">
        <x:f>U11-'Income Statement'!V9-'Income Statement'!V12-(U11-'Income Statement'!V9-'Income Statement'!V12)*'Assumptions'!$B$19</x:f>
        <x:v>485.4195834333743</x:v>
      </x:c>
      <x:c r="W11" s="47" t="n">
        <x:f>V11-'Income Statement'!W9-'Income Statement'!W12-(V11-'Income Statement'!W9-'Income Statement'!W12)*'Assumptions'!$B$19</x:f>
        <x:v>498.85939402214717</x:v>
      </x:c>
      <x:c r="X11" s="47" t="n">
        <x:f>W11-'Income Statement'!X9-'Income Statement'!X12-(W11-'Income Statement'!X9-'Income Statement'!X12)*'Assumptions'!$B$19</x:f>
        <x:v>512.970437477708</x:v>
      </x:c>
      <x:c r="Y11" s="47" t="n">
        <x:f>X11-'Income Statement'!Y9-'Income Statement'!Y12-(X11-'Income Statement'!Y9-'Income Statement'!Y12)*'Assumptions'!$B$19</x:f>
        <x:v>527.7865406253218</x:v>
      </x:c>
    </x:row>
    <x:row r="12">
      <x:c r="A12" t="str">
        <x:v>Debt</x:v>
      </x:c>
      <x:c r="B12" s="47" t="n">
        <x:f>MAX(0,'Assumptions'!$B$10-'Assumptions'!$B$21)</x:f>
        <x:v>1000</x:v>
      </x:c>
      <x:c r="C12" s="47" t="n">
        <x:f>MAX(0,B12-'Assumptions'!$B$21)</x:f>
        <x:v>1000</x:v>
      </x:c>
      <x:c r="D12" s="47" t="n">
        <x:f>MAX(0,C12-'Assumptions'!$B$21)</x:f>
        <x:v>1000</x:v>
      </x:c>
      <x:c r="E12" s="47" t="n">
        <x:f>MAX(0,D12-'Assumptions'!$B$21)</x:f>
        <x:v>1000</x:v>
      </x:c>
      <x:c r="F12" s="47" t="n">
        <x:f>MAX(0,E12-'Assumptions'!$B$21)</x:f>
        <x:v>1000</x:v>
      </x:c>
      <x:c r="G12" s="47" t="n">
        <x:f>MAX(0,F12-'Assumptions'!$B$21)</x:f>
        <x:v>1000</x:v>
      </x:c>
      <x:c r="H12" s="47" t="n">
        <x:f>MAX(0,G12-'Assumptions'!$B$21)</x:f>
        <x:v>1000</x:v>
      </x:c>
      <x:c r="I12" s="47" t="n">
        <x:f>MAX(0,H12-'Assumptions'!$B$21)</x:f>
        <x:v>1000</x:v>
      </x:c>
      <x:c r="J12" s="47" t="n">
        <x:f>MAX(0,I12-'Assumptions'!$B$21)</x:f>
        <x:v>1000</x:v>
      </x:c>
      <x:c r="K12" s="47" t="n">
        <x:f>MAX(0,J12-'Assumptions'!$B$21)</x:f>
        <x:v>1000</x:v>
      </x:c>
      <x:c r="L12" s="47" t="n">
        <x:f>MAX(0,K12-'Assumptions'!$B$21)</x:f>
        <x:v>1000</x:v>
      </x:c>
      <x:c r="M12" s="47" t="n">
        <x:f>MAX(0,L12-'Assumptions'!$B$21)</x:f>
        <x:v>1000</x:v>
      </x:c>
      <x:c r="N12" s="47" t="n">
        <x:f>MAX(0,M12-'Assumptions'!$B$21)</x:f>
        <x:v>1000</x:v>
      </x:c>
      <x:c r="O12" s="47" t="n">
        <x:f>MAX(0,N12-'Assumptions'!$B$21)</x:f>
        <x:v>1000</x:v>
      </x:c>
      <x:c r="P12" s="47" t="n">
        <x:f>MAX(0,O12-'Assumptions'!$B$21)</x:f>
        <x:v>1000</x:v>
      </x:c>
      <x:c r="Q12" s="47" t="n">
        <x:f>MAX(0,P12-'Assumptions'!$B$21)</x:f>
        <x:v>1000</x:v>
      </x:c>
      <x:c r="R12" s="47" t="n">
        <x:f>MAX(0,Q12-'Assumptions'!$B$21)</x:f>
        <x:v>1000</x:v>
      </x:c>
      <x:c r="S12" s="47" t="n">
        <x:f>MAX(0,R12-'Assumptions'!$B$21)</x:f>
        <x:v>1000</x:v>
      </x:c>
      <x:c r="T12" s="47" t="n">
        <x:f>MAX(0,S12-'Assumptions'!$B$21)</x:f>
        <x:v>1000</x:v>
      </x:c>
      <x:c r="U12" s="47" t="n">
        <x:f>MAX(0,T12-'Assumptions'!$B$21)</x:f>
        <x:v>1000</x:v>
      </x:c>
      <x:c r="V12" s="47" t="n">
        <x:f>MAX(0,U12-'Assumptions'!$B$21)</x:f>
        <x:v>1000</x:v>
      </x:c>
      <x:c r="W12" s="47" t="n">
        <x:f>MAX(0,V12-'Assumptions'!$B$21)</x:f>
        <x:v>1000</x:v>
      </x:c>
      <x:c r="X12" s="47" t="n">
        <x:f>MAX(0,W12-'Assumptions'!$B$21)</x:f>
        <x:v>1000</x:v>
      </x:c>
      <x:c r="Y12" s="47" t="n">
        <x:f>MAX(0,X12-'Assumptions'!$B$21)</x:f>
        <x:v>1000</x:v>
      </x:c>
    </x:row>
    <x:row r="13">
      <x:c r="A13" s="54" t="str">
        <x:v>Total liabilities</x:v>
      </x:c>
      <x:c r="B13" s="52" t="n">
        <x:f>SUM(B10:B12)</x:f>
        <x:v>2856.3</x:v>
      </x:c>
      <x:c r="C13" s="52" t="n">
        <x:f>SUM(C10:C12)</x:f>
        <x:v>3138.665</x:v>
      </x:c>
      <x:c r="D13" s="52" t="n">
        <x:f>SUM(D10:D12)</x:f>
        <x:v>3367.63825</x:v>
      </x:c>
      <x:c r="E13" s="52" t="n">
        <x:f>SUM(E10:E12)</x:f>
        <x:v>3562.2105375</x:v>
      </x:c>
      <x:c r="F13" s="52" t="n">
        <x:f>SUM(F10:F12)</x:f>
        <x:v>3736.217151875</x:v>
      </x:c>
      <x:c r="G13" s="52" t="n">
        <x:f>SUM(G10:G12)</x:f>
        <x:v>3899.1098022812503</x:v>
      </x:c>
      <x:c r="H13" s="52" t="n">
        <x:f>SUM(H10:H12)</x:f>
        <x:v>4057.2370417078128</x:v>
      </x:c>
      <x:c r="I13" s="52" t="n">
        <x:f>SUM(I10:I12)</x:f>
        <x:v>4214.871426842423</x:v>
      </x:c>
      <x:c r="J13" s="52" t="n">
        <x:f>SUM(J10:J12)</x:f>
        <x:v>4374.926118665559</x:v>
      </x:c>
      <x:c r="K13" s="52" t="n">
        <x:f>SUM(K10:K12)</x:f>
        <x:v>4539.433146411254</x:v>
      </x:c>
      <x:c r="L13" s="52" t="n">
        <x:f>SUM(L10:L12)</x:f>
        <x:v>4709.857646284826</x:v>
      </x:c>
      <x:c r="M13" s="52" t="n">
        <x:f>SUM(M10:M12)</x:f>
        <x:v>4887.303219602258</x:v>
      </x:c>
      <x:c r="N13" s="52" t="n">
        <x:f>SUM(N10:N12)</x:f>
        <x:v>5072.645965570379</x:v>
      </x:c>
      <x:c r="O13" s="52" t="n">
        <x:f>SUM(O10:O12)</x:f>
        <x:v>5266.622028050087</x:v>
      </x:c>
      <x:c r="P13" s="52" t="n">
        <x:f>SUM(P10:P12)</x:f>
        <x:v>5469.88490967311</x:v>
      </x:c>
      <x:c r="Q13" s="52" t="n">
        <x:f>SUM(Q10:Q12)</x:f>
        <x:v>5683.043145672539</x:v>
      </x:c>
      <x:c r="R13" s="52" t="n">
        <x:f>SUM(R10:R12)</x:f>
        <x:v>5906.685230134528</x:v>
      </x:c>
      <x:c r="S13" s="52" t="n">
        <x:f>SUM(S10:S12)</x:f>
        <x:v>6141.396277642967</x:v>
      </x:c>
      <x:c r="T13" s="52" t="n">
        <x:f>SUM(T10:T12)</x:f>
        <x:v>6387.769335760174</x:v>
      </x:c>
      <x:c r="U13" s="52" t="n">
        <x:f>SUM(U10:U12)</x:f>
        <x:v>6646.413244634456</x:v>
      </x:c>
      <x:c r="V13" s="52" t="n">
        <x:f>SUM(V10:V12)</x:f>
        <x:v>6917.958277555627</x:v>
      </x:c>
      <x:c r="W13" s="52" t="n">
        <x:f>SUM(W10:W12)</x:f>
        <x:v>7203.060365714895</x:v>
      </x:c>
      <x:c r="X13" s="52" t="n">
        <x:f>SUM(X10:X12)</x:f>
        <x:v>7502.404430616942</x:v>
      </x:c>
      <x:c r="Y13" s="52" t="n">
        <x:f>SUM(Y10:Y12)</x:f>
        <x:v>7816.707165781718</x:v>
      </x:c>
    </x:row>
    <x:row r="14">
      <x:c r="A14" t="str">
        <x:v>Contributed equity</x:v>
      </x:c>
      <x:c r="B14" s="47" t="n">
        <x:f>'Assumptions'!$B$11+SUM('Cash Flow'!$B$15:B15)</x:f>
        <x:v>4200</x:v>
      </x:c>
      <x:c r="C14" s="47" t="n">
        <x:f>'Assumptions'!$B$11+SUM('Cash Flow'!$B$15:C15)</x:f>
        <x:v>4200</x:v>
      </x:c>
      <x:c r="D14" s="47" t="n">
        <x:f>'Assumptions'!$B$11+SUM('Cash Flow'!$B$15:D15)</x:f>
        <x:v>4200</x:v>
      </x:c>
      <x:c r="E14" s="47" t="n">
        <x:f>'Assumptions'!$B$11+SUM('Cash Flow'!$B$15:E15)</x:f>
        <x:v>4200</x:v>
      </x:c>
      <x:c r="F14" s="47" t="n">
        <x:f>'Assumptions'!$B$11+SUM('Cash Flow'!$B$15:F15)</x:f>
        <x:v>4200</x:v>
      </x:c>
      <x:c r="G14" s="47" t="n">
        <x:f>'Assumptions'!$B$11+SUM('Cash Flow'!$B$15:G15)</x:f>
        <x:v>4200</x:v>
      </x:c>
      <x:c r="H14" s="47" t="n">
        <x:f>'Assumptions'!$B$11+SUM('Cash Flow'!$B$15:H15)</x:f>
        <x:v>8200</x:v>
      </x:c>
      <x:c r="I14" s="47" t="n">
        <x:f>'Assumptions'!$B$11+SUM('Cash Flow'!$B$15:I15)</x:f>
        <x:v>8200</x:v>
      </x:c>
      <x:c r="J14" s="47" t="n">
        <x:f>'Assumptions'!$B$11+SUM('Cash Flow'!$B$15:J15)</x:f>
        <x:v>8200</x:v>
      </x:c>
      <x:c r="K14" s="47" t="n">
        <x:f>'Assumptions'!$B$11+SUM('Cash Flow'!$B$15:K15)</x:f>
        <x:v>8200</x:v>
      </x:c>
      <x:c r="L14" s="47" t="n">
        <x:f>'Assumptions'!$B$11+SUM('Cash Flow'!$B$15:L15)</x:f>
        <x:v>8200</x:v>
      </x:c>
      <x:c r="M14" s="47" t="n">
        <x:f>'Assumptions'!$B$11+SUM('Cash Flow'!$B$15:M15)</x:f>
        <x:v>8200</x:v>
      </x:c>
      <x:c r="N14" s="47" t="n">
        <x:f>'Assumptions'!$B$11+SUM('Cash Flow'!$B$15:N15)</x:f>
        <x:v>8200</x:v>
      </x:c>
      <x:c r="O14" s="47" t="n">
        <x:f>'Assumptions'!$B$11+SUM('Cash Flow'!$B$15:O15)</x:f>
        <x:v>8200</x:v>
      </x:c>
      <x:c r="P14" s="47" t="n">
        <x:f>'Assumptions'!$B$11+SUM('Cash Flow'!$B$15:P15)</x:f>
        <x:v>8200</x:v>
      </x:c>
      <x:c r="Q14" s="47" t="n">
        <x:f>'Assumptions'!$B$11+SUM('Cash Flow'!$B$15:Q15)</x:f>
        <x:v>8200</x:v>
      </x:c>
      <x:c r="R14" s="47" t="n">
        <x:f>'Assumptions'!$B$11+SUM('Cash Flow'!$B$15:R15)</x:f>
        <x:v>8200</x:v>
      </x:c>
      <x:c r="S14" s="47" t="n">
        <x:f>'Assumptions'!$B$11+SUM('Cash Flow'!$B$15:S15)</x:f>
        <x:v>8200</x:v>
      </x:c>
      <x:c r="T14" s="47" t="n">
        <x:f>'Assumptions'!$B$11+SUM('Cash Flow'!$B$15:T15)</x:f>
        <x:v>8200</x:v>
      </x:c>
      <x:c r="U14" s="47" t="n">
        <x:f>'Assumptions'!$B$11+SUM('Cash Flow'!$B$15:U15)</x:f>
        <x:v>8200</x:v>
      </x:c>
      <x:c r="V14" s="47" t="n">
        <x:f>'Assumptions'!$B$11+SUM('Cash Flow'!$B$15:V15)</x:f>
        <x:v>8200</x:v>
      </x:c>
      <x:c r="W14" s="47" t="n">
        <x:f>'Assumptions'!$B$11+SUM('Cash Flow'!$B$15:W15)</x:f>
        <x:v>8200</x:v>
      </x:c>
      <x:c r="X14" s="47" t="n">
        <x:f>'Assumptions'!$B$11+SUM('Cash Flow'!$B$15:X15)</x:f>
        <x:v>8200</x:v>
      </x:c>
      <x:c r="Y14" s="47" t="n">
        <x:f>'Assumptions'!$B$11+SUM('Cash Flow'!$B$15:Y15)</x:f>
        <x:v>8200</x:v>
      </x:c>
    </x:row>
    <x:row r="15">
      <x:c r="A15" t="str">
        <x:v>Retained earnings</x:v>
      </x:c>
      <x:c r="B15" s="47" t="n">
        <x:f>SUM('Income Statement'!$B$19:B19)</x:f>
        <x:v>-75.20000000000005</x:v>
      </x:c>
      <x:c r="C15" s="47" t="n">
        <x:f>SUM('Income Statement'!$B$19:C19)</x:f>
        <x:v>-44.56000000000017</x:v>
      </x:c>
      <x:c r="D15" s="47" t="n">
        <x:f>SUM('Income Statement'!$B$19:D19)</x:f>
        <x:v>70.75199999999973</x:v>
      </x:c>
      <x:c r="E15" s="47" t="n">
        <x:f>SUM('Income Statement'!$B$19:E19)</x:f>
        <x:v>257.7705999999996</x:v>
      </x:c>
      <x:c r="F15" s="47" t="n">
        <x:f>SUM('Income Statement'!$B$19:F19)</x:f>
        <x:v>508.9017799999996</x:v>
      </x:c>
      <x:c r="G15" s="47" t="n">
        <x:f>SUM('Income Statement'!$B$19:G19)</x:f>
        <x:v>820.0845914999994</x:v>
      </x:c>
      <x:c r="H15" s="47" t="n">
        <x:f>SUM('Income Statement'!$B$19:H19)</x:f>
        <x:v>1189.5983406999994</x:v>
      </x:c>
      <x:c r="I15" s="47" t="n">
        <x:f>SUM('Income Statement'!$B$19:I19)</x:f>
        <x:v>1617.2894454912498</x:v>
      </x:c>
      <x:c r="J15" s="47" t="n">
        <x:f>SUM('Income Statement'!$B$19:J19)</x:f>
        <x:v>2104.071189807375</x:v>
      </x:c>
      <x:c r="K15" s="47" t="n">
        <x:f>SUM('Income Statement'!$B$19:K19)</x:f>
        <x:v>2651.6009761247597</x:v>
      </x:c>
      <x:c r="L15" s="47" t="n">
        <x:f>SUM('Income Statement'!$B$19:L19)</x:f>
        <x:v>3262.0730723685583</x:v>
      </x:c>
      <x:c r="M15" s="47" t="n">
        <x:f>SUM('Income Statement'!$B$19:M19)</x:f>
        <x:v>3938.086556821401</x:v>
      </x:c>
      <x:c r="N15" s="47" t="n">
        <x:f>SUM('Income Statement'!$B$19:N19)</x:f>
        <x:v>4682.56227470484</x:v>
      </x:c>
      <x:c r="O15" s="47" t="n">
        <x:f>SUM('Income Statement'!$B$19:O19)</x:f>
        <x:v>5498.691791967623</x:v>
      </x:c>
      <x:c r="P15" s="47" t="n">
        <x:f>SUM('Income Statement'!$B$19:P19)</x:f>
        <x:v>6389.907293858906</x:v>
      </x:c>
      <x:c r="Q15" s="47" t="n">
        <x:f>SUM('Income Statement'!$B$19:Q19)</x:f>
        <x:v>7359.865251542238</x:v>
      </x:c>
      <x:c r="R15" s="47" t="n">
        <x:f>SUM('Income Statement'!$B$19:R19)</x:f>
        <x:v>8412.439199563101</x:v>
      </x:c>
      <x:c r="S15" s="47" t="n">
        <x:f>SUM('Income Statement'!$B$19:S19)</x:f>
        <x:v>9551.718605079695</x:v>
      </x:c>
      <x:c r="T15" s="47" t="n">
        <x:f>SUM('Income Statement'!$B$19:T19)</x:f>
        <x:v>10782.011874933665</x:v>
      </x:c>
      <x:c r="U15" s="47" t="n">
        <x:f>SUM('Income Statement'!$B$19:U19)</x:f>
        <x:v>12107.85223942034</x:v>
      </x:c>
      <x:c r="V15" s="47" t="n">
        <x:f>SUM('Income Statement'!$B$19:V19)</x:f>
        <x:v>13534.005702372351</x:v>
      </x:c>
      <x:c r="W15" s="47" t="n">
        <x:f>SUM('Income Statement'!$B$19:W19)</x:f>
        <x:v>15065.480540628616</x:v>
      </x:c>
      <x:c r="X15" s="47" t="n">
        <x:f>SUM('Income Statement'!$B$19:X19)</x:f>
        <x:v>16707.538027199516</x:v>
      </x:c>
      <x:c r="Y15" s="47" t="n">
        <x:f>SUM('Income Statement'!$B$19:Y19)</x:f>
        <x:v>18465.70417726015</x:v>
      </x:c>
    </x:row>
    <x:row r="16">
      <x:c r="A16" s="54" t="str">
        <x:v>Total equity</x:v>
      </x:c>
      <x:c r="B16" s="52" t="n">
        <x:f>SUM(B14:B15)</x:f>
        <x:v>4124.8</x:v>
      </x:c>
      <x:c r="C16" s="52" t="n">
        <x:f>SUM(C14:C15)</x:f>
        <x:v>4155.44</x:v>
      </x:c>
      <x:c r="D16" s="52" t="n">
        <x:f>SUM(D14:D15)</x:f>
        <x:v>4270.7519999999995</x:v>
      </x:c>
      <x:c r="E16" s="52" t="n">
        <x:f>SUM(E14:E15)</x:f>
        <x:v>4457.7706</x:v>
      </x:c>
      <x:c r="F16" s="52" t="n">
        <x:f>SUM(F14:F15)</x:f>
        <x:v>4708.901779999999</x:v>
      </x:c>
      <x:c r="G16" s="52" t="n">
        <x:f>SUM(G14:G15)</x:f>
        <x:v>5020.084591499999</x:v>
      </x:c>
      <x:c r="H16" s="52" t="n">
        <x:f>SUM(H14:H15)</x:f>
        <x:v>9389.598340699999</x:v>
      </x:c>
      <x:c r="I16" s="52" t="n">
        <x:f>SUM(I14:I15)</x:f>
        <x:v>9817.28944549125</x:v>
      </x:c>
      <x:c r="J16" s="52" t="n">
        <x:f>SUM(J14:J15)</x:f>
        <x:v>10304.071189807375</x:v>
      </x:c>
      <x:c r="K16" s="52" t="n">
        <x:f>SUM(K14:K15)</x:f>
        <x:v>10851.600976124759</x:v>
      </x:c>
      <x:c r="L16" s="52" t="n">
        <x:f>SUM(L14:L15)</x:f>
        <x:v>11462.07307236856</x:v>
      </x:c>
      <x:c r="M16" s="52" t="n">
        <x:f>SUM(M14:M15)</x:f>
        <x:v>12138.086556821401</x:v>
      </x:c>
      <x:c r="N16" s="52" t="n">
        <x:f>SUM(N14:N15)</x:f>
        <x:v>12882.56227470484</x:v>
      </x:c>
      <x:c r="O16" s="52" t="n">
        <x:f>SUM(O14:O15)</x:f>
        <x:v>13698.691791967623</x:v>
      </x:c>
      <x:c r="P16" s="52" t="n">
        <x:f>SUM(P14:P15)</x:f>
        <x:v>14589.907293858905</x:v>
      </x:c>
      <x:c r="Q16" s="52" t="n">
        <x:f>SUM(Q14:Q15)</x:f>
        <x:v>15559.865251542238</x:v>
      </x:c>
      <x:c r="R16" s="52" t="n">
        <x:f>SUM(R14:R15)</x:f>
        <x:v>16612.4391995631</x:v>
      </x:c>
      <x:c r="S16" s="52" t="n">
        <x:f>SUM(S14:S15)</x:f>
        <x:v>17751.718605079695</x:v>
      </x:c>
      <x:c r="T16" s="52" t="n">
        <x:f>SUM(T14:T15)</x:f>
        <x:v>18982.011874933665</x:v>
      </x:c>
      <x:c r="U16" s="52" t="n">
        <x:f>SUM(U14:U15)</x:f>
        <x:v>20307.85223942034</x:v>
      </x:c>
      <x:c r="V16" s="52" t="n">
        <x:f>SUM(V14:V15)</x:f>
        <x:v>21734.00570237235</x:v>
      </x:c>
      <x:c r="W16" s="52" t="n">
        <x:f>SUM(W14:W15)</x:f>
        <x:v>23265.480540628618</x:v>
      </x:c>
      <x:c r="X16" s="52" t="n">
        <x:f>SUM(X14:X15)</x:f>
        <x:v>24907.538027199516</x:v>
      </x:c>
      <x:c r="Y16" s="52" t="n">
        <x:f>SUM(Y14:Y15)</x:f>
        <x:v>26665.70417726015</x:v>
      </x:c>
    </x:row>
    <x:row r="17">
      <x:c r="A17" s="54" t="str">
        <x:v>Liabilities + equity</x:v>
      </x:c>
      <x:c r="B17" s="52" t="n">
        <x:f>SUM(B13,B16)</x:f>
        <x:v>6981.1</x:v>
      </x:c>
      <x:c r="C17" s="52" t="n">
        <x:f>SUM(C13,C16)</x:f>
        <x:v>7294.105</x:v>
      </x:c>
      <x:c r="D17" s="52" t="n">
        <x:f>SUM(D13,D16)</x:f>
        <x:v>7638.3902499999995</x:v>
      </x:c>
      <x:c r="E17" s="52" t="n">
        <x:f>SUM(E13,E16)</x:f>
        <x:v>8019.9811375</x:v>
      </x:c>
      <x:c r="F17" s="52" t="n">
        <x:f>SUM(F13,F16)</x:f>
        <x:v>8445.118931875</x:v>
      </x:c>
      <x:c r="G17" s="52" t="n">
        <x:f>SUM(G13,G16)</x:f>
        <x:v>8919.19439378125</x:v>
      </x:c>
      <x:c r="H17" s="52" t="n">
        <x:f>SUM(H13,H16)</x:f>
        <x:v>13446.835382407811</x:v>
      </x:c>
      <x:c r="I17" s="52" t="n">
        <x:f>SUM(I13,I16)</x:f>
        <x:v>14032.160872333672</x:v>
      </x:c>
      <x:c r="J17" s="52" t="n">
        <x:f>SUM(J13,J16)</x:f>
        <x:v>14678.997308472935</x:v>
      </x:c>
      <x:c r="K17" s="52" t="n">
        <x:f>SUM(K13,K16)</x:f>
        <x:v>15391.034122536013</x:v>
      </x:c>
      <x:c r="L17" s="52" t="n">
        <x:f>SUM(L13,L16)</x:f>
        <x:v>16171.930718653384</x:v>
      </x:c>
      <x:c r="M17" s="52" t="n">
        <x:f>SUM(M13,M16)</x:f>
        <x:v>17025.38977642366</x:v>
      </x:c>
      <x:c r="N17" s="52" t="n">
        <x:f>SUM(N13,N16)</x:f>
        <x:v>17955.20824027522</x:v>
      </x:c>
      <x:c r="O17" s="52" t="n">
        <x:f>SUM(O13,O16)</x:f>
        <x:v>18965.31382001771</x:v>
      </x:c>
      <x:c r="P17" s="52" t="n">
        <x:f>SUM(P13,P16)</x:f>
        <x:v>20059.792203532015</x:v>
      </x:c>
      <x:c r="Q17" s="52" t="n">
        <x:f>SUM(Q13,Q16)</x:f>
        <x:v>21242.90839721478</x:v>
      </x:c>
      <x:c r="R17" s="52" t="n">
        <x:f>SUM(R13,R16)</x:f>
        <x:v>22519.12442969763</x:v>
      </x:c>
      <x:c r="S17" s="52" t="n">
        <x:f>SUM(S13,S16)</x:f>
        <x:v>23893.114882722664</x:v>
      </x:c>
      <x:c r="T17" s="52" t="n">
        <x:f>SUM(T13,T16)</x:f>
        <x:v>25369.78121069384</x:v>
      </x:c>
      <x:c r="U17" s="52" t="n">
        <x:f>SUM(U13,U16)</x:f>
        <x:v>26954.265484054795</x:v>
      </x:c>
      <x:c r="V17" s="52" t="n">
        <x:f>SUM(V13,V16)</x:f>
        <x:v>28651.963979927976</x:v>
      </x:c>
      <x:c r="W17" s="52" t="n">
        <x:f>SUM(W13,W16)</x:f>
        <x:v>30468.540906343515</x:v>
      </x:c>
      <x:c r="X17" s="52" t="n">
        <x:f>SUM(X13,X16)</x:f>
        <x:v>32409.942457816458</x:v>
      </x:c>
      <x:c r="Y17" s="52" t="n">
        <x:f>SUM(Y13,Y16)</x:f>
        <x:v>34482.411343041866</x:v>
      </x:c>
    </x:row>
    <x:row r="18">
      <x:c r="A18" s="55" t="str">
        <x:v>Balance check</x:v>
      </x:c>
      <x:c r="B18" s="56" t="n">
        <x:f>B9-B17</x:f>
        <x:v>0</x:v>
      </x:c>
      <x:c r="C18" s="56" t="n">
        <x:f>C9-C17</x:f>
        <x:v>9.094947017729282e-13</x:v>
      </x:c>
      <x:c r="D18" s="56" t="n">
        <x:f>D9-D17</x:f>
        <x:v>9.094947017729282e-13</x:v>
      </x:c>
      <x:c r="E18" s="56" t="n">
        <x:f>E9-E17</x:f>
        <x:v>9.094947017729282e-13</x:v>
      </x:c>
      <x:c r="F18" s="56" t="n">
        <x:f>F9-F17</x:f>
        <x:v>0</x:v>
      </x:c>
      <x:c r="G18" s="56" t="n">
        <x:f>G9-G17</x:f>
        <x:v>0</x:v>
      </x:c>
      <x:c r="H18" s="56" t="n">
        <x:f>H9-H17</x:f>
        <x:v>1.8189894035458565e-12</x:v>
      </x:c>
      <x:c r="I18" s="56" t="n">
        <x:f>I9-I17</x:f>
        <x:v>1.8189894035458565e-12</x:v>
      </x:c>
      <x:c r="J18" s="56" t="n">
        <x:f>J9-J17</x:f>
        <x:v>0</x:v>
      </x:c>
      <x:c r="K18" s="56" t="n">
        <x:f>K9-K17</x:f>
        <x:v>1.8189894035458565e-12</x:v>
      </x:c>
      <x:c r="L18" s="56" t="n">
        <x:f>L9-L17</x:f>
        <x:v>1.8189894035458565e-12</x:v>
      </x:c>
      <x:c r="M18" s="56" t="n">
        <x:f>M9-M17</x:f>
        <x:v>0</x:v>
      </x:c>
      <x:c r="N18" s="56" t="n">
        <x:f>N9-N17</x:f>
        <x:v>0</x:v>
      </x:c>
      <x:c r="O18" s="56" t="n">
        <x:f>O9-O17</x:f>
        <x:v>3.637978807091713e-12</x:v>
      </x:c>
      <x:c r="P18" s="56" t="n">
        <x:f>P9-P17</x:f>
        <x:v>3.637978807091713e-12</x:v>
      </x:c>
      <x:c r="Q18" s="56" t="n">
        <x:f>Q9-Q17</x:f>
        <x:v>0</x:v>
      </x:c>
      <x:c r="R18" s="56" t="n">
        <x:f>R9-R17</x:f>
        <x:v>0</x:v>
      </x:c>
      <x:c r="S18" s="56" t="n">
        <x:f>S9-S17</x:f>
        <x:v>0</x:v>
      </x:c>
      <x:c r="T18" s="56" t="n">
        <x:f>T9-T17</x:f>
        <x:v>0</x:v>
      </x:c>
      <x:c r="U18" s="56" t="n">
        <x:f>U9-U17</x:f>
        <x:v>3.637978807091713e-12</x:v>
      </x:c>
      <x:c r="V18" s="56" t="n">
        <x:f>V9-V17</x:f>
        <x:v>7.275957614183426e-12</x:v>
      </x:c>
      <x:c r="W18" s="56" t="n">
        <x:f>W9-W17</x:f>
        <x:v>0</x:v>
      </x:c>
      <x:c r="X18" s="56" t="n">
        <x:f>X9-X17</x:f>
        <x:v>7.275957614183426e-12</x:v>
      </x:c>
      <x:c r="Y18" s="56" t="n">
        <x:f>Y9-Y17</x:f>
        <x:v>7.275957614183426e-12</x:v>
      </x:c>
    </x:row>
  </x:sheetData>
  <x:mergeCells>
    <x:mergeCell ref="A1:Y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.5" hidden="0" customWidth="1"/>
    <x:col min="3" max="3" width="10.5" hidden="0" customWidth="1"/>
    <x:col min="4" max="4" width="10.5" hidden="0" customWidth="1"/>
    <x:col min="5" max="5" width="10.5" hidden="0" customWidth="1"/>
    <x:col min="6" max="6" width="10.5" hidden="0" customWidth="1"/>
    <x:col min="7" max="7" width="10.5" hidden="0" customWidth="1"/>
    <x:col min="8" max="8" width="10.5" hidden="0" customWidth="1"/>
    <x:col min="9" max="9" width="10.5" hidden="0" customWidth="1"/>
    <x:col min="10" max="10" width="10.5" hidden="0" customWidth="1"/>
    <x:col min="11" max="11" width="10.5" hidden="0" customWidth="1"/>
    <x:col min="12" max="12" width="10.5" hidden="0" customWidth="1"/>
    <x:col min="13" max="13" width="10.5" hidden="0" customWidth="1"/>
    <x:col min="14" max="14" width="10.5" hidden="0" customWidth="1"/>
    <x:col min="15" max="15" width="10.5" hidden="0" customWidth="1"/>
    <x:col min="16" max="16" width="10.5" hidden="0" customWidth="1"/>
    <x:col min="17" max="17" width="10.5" hidden="0" customWidth="1"/>
    <x:col min="18" max="18" width="10.5" hidden="0" customWidth="1"/>
    <x:col min="19" max="19" width="10.5" hidden="0" customWidth="1"/>
    <x:col min="20" max="20" width="10.5" hidden="0" customWidth="1"/>
    <x:col min="21" max="21" width="10.5" hidden="0" customWidth="1"/>
    <x:col min="22" max="22" width="10.5" hidden="0" customWidth="1"/>
    <x:col min="23" max="23" width="10.5" hidden="0" customWidth="1"/>
    <x:col min="24" max="24" width="10.5" hidden="0" customWidth="1"/>
    <x:col min="25" max="25" width="10.5" hidden="0" customWidth="1"/>
  </x:cols>
  <x:sheetData>
    <x:row r="1" ht="26" customHeight="1">
      <x:c r="A1" s="3" t="str">
        <x:v>Cash Flow Statement</x:v>
      </x:c>
      <x:c r="B1" s="3" t="str">
        <x:v>Cash Flow Statement</x:v>
      </x:c>
      <x:c r="C1" s="3" t="str">
        <x:v>Cash Flow Statement</x:v>
      </x:c>
      <x:c r="D1" s="3" t="str">
        <x:v>Cash Flow Statement</x:v>
      </x:c>
      <x:c r="E1" s="3" t="str">
        <x:v>Cash Flow Statement</x:v>
      </x:c>
      <x:c r="F1" s="3" t="str">
        <x:v>Cash Flow Statement</x:v>
      </x:c>
      <x:c r="G1" s="3" t="str">
        <x:v>Cash Flow Statement</x:v>
      </x:c>
      <x:c r="H1" s="3" t="str">
        <x:v>Cash Flow Statement</x:v>
      </x:c>
      <x:c r="I1" s="3" t="str">
        <x:v>Cash Flow Statement</x:v>
      </x:c>
      <x:c r="J1" s="3" t="str">
        <x:v>Cash Flow Statement</x:v>
      </x:c>
      <x:c r="K1" s="3" t="str">
        <x:v>Cash Flow Statement</x:v>
      </x:c>
      <x:c r="L1" s="3" t="str">
        <x:v>Cash Flow Statement</x:v>
      </x:c>
      <x:c r="M1" s="3" t="str">
        <x:v>Cash Flow Statement</x:v>
      </x:c>
      <x:c r="N1" s="3" t="str">
        <x:v>Cash Flow Statement</x:v>
      </x:c>
      <x:c r="O1" s="3" t="str">
        <x:v>Cash Flow Statement</x:v>
      </x:c>
      <x:c r="P1" s="3" t="str">
        <x:v>Cash Flow Statement</x:v>
      </x:c>
      <x:c r="Q1" s="3" t="str">
        <x:v>Cash Flow Statement</x:v>
      </x:c>
      <x:c r="R1" s="3" t="str">
        <x:v>Cash Flow Statement</x:v>
      </x:c>
      <x:c r="S1" s="3" t="str">
        <x:v>Cash Flow Statement</x:v>
      </x:c>
      <x:c r="T1" s="3" t="str">
        <x:v>Cash Flow Statement</x:v>
      </x:c>
      <x:c r="U1" s="3" t="str">
        <x:v>Cash Flow Statement</x:v>
      </x:c>
      <x:c r="V1" s="3" t="str">
        <x:v>Cash Flow Statement</x:v>
      </x:c>
      <x:c r="W1" s="3" t="str">
        <x:v>Cash Flow Statement</x:v>
      </x:c>
      <x:c r="X1" s="3" t="str">
        <x:v>Cash Flow Statement</x:v>
      </x:c>
      <x:c r="Y1" s="3" t="str">
        <x:v>Cash Flow Statement</x:v>
      </x:c>
    </x:row>
    <x:row r="2" ht="26" customHeight="1">
      <x:c r="A2" s="3" t="str">
        <x:v>Cash Flow Statement</x:v>
      </x:c>
      <x:c r="B2" s="3" t="str">
        <x:v>Cash Flow Statement</x:v>
      </x:c>
      <x:c r="C2" s="3" t="str">
        <x:v>Cash Flow Statement</x:v>
      </x:c>
      <x:c r="D2" s="3" t="str">
        <x:v>Cash Flow Statement</x:v>
      </x:c>
      <x:c r="E2" s="3" t="str">
        <x:v>Cash Flow Statement</x:v>
      </x:c>
      <x:c r="F2" s="3" t="str">
        <x:v>Cash Flow Statement</x:v>
      </x:c>
      <x:c r="G2" s="3" t="str">
        <x:v>Cash Flow Statement</x:v>
      </x:c>
      <x:c r="H2" s="3" t="str">
        <x:v>Cash Flow Statement</x:v>
      </x:c>
      <x:c r="I2" s="3" t="str">
        <x:v>Cash Flow Statement</x:v>
      </x:c>
      <x:c r="J2" s="3" t="str">
        <x:v>Cash Flow Statement</x:v>
      </x:c>
      <x:c r="K2" s="3" t="str">
        <x:v>Cash Flow Statement</x:v>
      </x:c>
      <x:c r="L2" s="3" t="str">
        <x:v>Cash Flow Statement</x:v>
      </x:c>
      <x:c r="M2" s="3" t="str">
        <x:v>Cash Flow Statement</x:v>
      </x:c>
      <x:c r="N2" s="3" t="str">
        <x:v>Cash Flow Statement</x:v>
      </x:c>
      <x:c r="O2" s="3" t="str">
        <x:v>Cash Flow Statement</x:v>
      </x:c>
      <x:c r="P2" s="3" t="str">
        <x:v>Cash Flow Statement</x:v>
      </x:c>
      <x:c r="Q2" s="3" t="str">
        <x:v>Cash Flow Statement</x:v>
      </x:c>
      <x:c r="R2" s="3" t="str">
        <x:v>Cash Flow Statement</x:v>
      </x:c>
      <x:c r="S2" s="3" t="str">
        <x:v>Cash Flow Statement</x:v>
      </x:c>
      <x:c r="T2" s="3" t="str">
        <x:v>Cash Flow Statement</x:v>
      </x:c>
      <x:c r="U2" s="3" t="str">
        <x:v>Cash Flow Statement</x:v>
      </x:c>
      <x:c r="V2" s="3" t="str">
        <x:v>Cash Flow Statement</x:v>
      </x:c>
      <x:c r="W2" s="3" t="str">
        <x:v>Cash Flow Statement</x:v>
      </x:c>
      <x:c r="X2" s="3" t="str">
        <x:v>Cash Flow Statement</x:v>
      </x:c>
      <x:c r="Y2" s="3" t="str">
        <x:v>Cash Flow Statement</x:v>
      </x:c>
    </x:row>
    <x:row r="4">
      <x:c r="A4" s="23" t="str">
        <x:v>Line item</x:v>
      </x:c>
      <x:c r="B4" s="42" t="n">
        <x:v>46023</x:v>
      </x:c>
      <x:c r="C4" s="42" t="n">
        <x:v>46054</x:v>
      </x:c>
      <x:c r="D4" s="42" t="n">
        <x:v>46082</x:v>
      </x:c>
      <x:c r="E4" s="42" t="n">
        <x:v>46113</x:v>
      </x:c>
      <x:c r="F4" s="42" t="n">
        <x:v>46143</x:v>
      </x:c>
      <x:c r="G4" s="42" t="n">
        <x:v>46174</x:v>
      </x:c>
      <x:c r="H4" s="42" t="n">
        <x:v>46204</x:v>
      </x:c>
      <x:c r="I4" s="42" t="n">
        <x:v>46235</x:v>
      </x:c>
      <x:c r="J4" s="42" t="n">
        <x:v>46266</x:v>
      </x:c>
      <x:c r="K4" s="42" t="n">
        <x:v>46296</x:v>
      </x:c>
      <x:c r="L4" s="42" t="n">
        <x:v>46327</x:v>
      </x:c>
      <x:c r="M4" s="42" t="n">
        <x:v>46357</x:v>
      </x:c>
      <x:c r="N4" s="42" t="n">
        <x:v>46388</x:v>
      </x:c>
      <x:c r="O4" s="42" t="n">
        <x:v>46419</x:v>
      </x:c>
      <x:c r="P4" s="42" t="n">
        <x:v>46447</x:v>
      </x:c>
      <x:c r="Q4" s="42" t="n">
        <x:v>46478</x:v>
      </x:c>
      <x:c r="R4" s="42" t="n">
        <x:v>46508</x:v>
      </x:c>
      <x:c r="S4" s="42" t="n">
        <x:v>46539</x:v>
      </x:c>
      <x:c r="T4" s="42" t="n">
        <x:v>46569</x:v>
      </x:c>
      <x:c r="U4" s="42" t="n">
        <x:v>46600</x:v>
      </x:c>
      <x:c r="V4" s="42" t="n">
        <x:v>46631</x:v>
      </x:c>
      <x:c r="W4" s="42" t="n">
        <x:v>46661</x:v>
      </x:c>
      <x:c r="X4" s="42" t="n">
        <x:v>46692</x:v>
      </x:c>
      <x:c r="Y4" s="43" t="n">
        <x:v>46722</x:v>
      </x:c>
    </x:row>
    <x:row r="6">
      <x:c r="A6" t="str">
        <x:v>Net income</x:v>
      </x:c>
      <x:c r="B6" s="47" t="n">
        <x:f>'Income Statement'!B19</x:f>
        <x:v>-75.20000000000005</x:v>
      </x:c>
      <x:c r="C6" s="47" t="n">
        <x:f>'Income Statement'!C19</x:f>
        <x:v>30.639999999999873</x:v>
      </x:c>
      <x:c r="D6" s="47" t="n">
        <x:f>'Income Statement'!D19</x:f>
        <x:v>115.3119999999999</x:v>
      </x:c>
      <x:c r="E6" s="47" t="n">
        <x:f>'Income Statement'!E19</x:f>
        <x:v>187.01859999999988</x:v>
      </x:c>
      <x:c r="F6" s="47" t="n">
        <x:f>'Income Statement'!F19</x:f>
        <x:v>251.13117999999997</x:v>
      </x:c>
      <x:c r="G6" s="47" t="n">
        <x:f>'Income Statement'!G19</x:f>
        <x:v>311.18281149999984</x:v>
      </x:c>
      <x:c r="H6" s="47" t="n">
        <x:f>'Income Statement'!H19</x:f>
        <x:v>369.5137491999999</x:v>
      </x:c>
      <x:c r="I6" s="47" t="n">
        <x:f>'Income Statement'!I19</x:f>
        <x:v>427.6911047912504</x:v>
      </x:c>
      <x:c r="J6" s="47" t="n">
        <x:f>'Income Statement'!J19</x:f>
        <x:v>486.78174431612524</x:v>
      </x:c>
      <x:c r="K6" s="47" t="n">
        <x:f>'Income Statement'!K19</x:f>
        <x:v>547.5297863173848</x:v>
      </x:c>
      <x:c r="L6" s="47" t="n">
        <x:f>'Income Statement'!L19</x:f>
        <x:v>610.4720962437984</x:v>
      </x:c>
      <x:c r="M6" s="47" t="n">
        <x:f>'Income Statement'!M19</x:f>
        <x:v>676.0134844528425</x:v>
      </x:c>
      <x:c r="N6" s="47" t="n">
        <x:f>'Income Statement'!N19</x:f>
        <x:v>744.4757178834395</x:v>
      </x:c>
      <x:c r="O6" s="47" t="n">
        <x:f>'Income Statement'!O19</x:f>
        <x:v>816.1295172627829</x:v>
      </x:c>
      <x:c r="P6" s="47" t="n">
        <x:f>'Income Statement'!P19</x:f>
        <x:v>891.2155018912827</x:v>
      </x:c>
      <x:c r="Q6" s="47" t="n">
        <x:f>'Income Statement'!Q19</x:f>
        <x:v>969.9579576833316</x:v>
      </x:c>
      <x:c r="R6" s="47" t="n">
        <x:f>'Income Statement'!R19</x:f>
        <x:v>1052.5739480208633</x:v>
      </x:c>
      <x:c r="S6" s="47" t="n">
        <x:f>'Income Statement'!S19</x:f>
        <x:v>1139.279405516594</x:v>
      </x:c>
      <x:c r="T6" s="47" t="n">
        <x:f>'Income Statement'!T19</x:f>
        <x:v>1230.2932698539705</x:v>
      </x:c>
      <x:c r="U6" s="47" t="n">
        <x:f>'Income Statement'!U19</x:f>
        <x:v>1325.8403644866744</x:v>
      </x:c>
      <x:c r="V6" s="47" t="n">
        <x:f>'Income Statement'!V19</x:f>
        <x:v>1426.1534629520115</x:v>
      </x:c>
      <x:c r="W6" s="47" t="n">
        <x:f>'Income Statement'!W19</x:f>
        <x:v>1531.4748382562648</x:v>
      </x:c>
      <x:c r="X6" s="47" t="n">
        <x:f>'Income Statement'!X19</x:f>
        <x:v>1642.0574865709023</x:v>
      </x:c>
      <x:c r="Y6" s="47" t="n">
        <x:f>'Income Statement'!Y19</x:f>
        <x:v>1758.1661500606333</x:v>
      </x:c>
    </x:row>
    <x:row r="7">
      <x:c r="A7" t="str">
        <x:v>D&amp;A</x:v>
      </x:c>
      <x:c r="B7" s="47" t="n">
        <x:f>-'Income Statement'!B13</x:f>
        <x:v>20</x:v>
      </x:c>
      <x:c r="C7" s="47" t="n">
        <x:f>-'Income Statement'!C13</x:f>
        <x:v>20</x:v>
      </x:c>
      <x:c r="D7" s="47" t="n">
        <x:f>-'Income Statement'!D13</x:f>
        <x:v>20</x:v>
      </x:c>
      <x:c r="E7" s="47" t="n">
        <x:f>-'Income Statement'!E13</x:f>
        <x:v>20</x:v>
      </x:c>
      <x:c r="F7" s="47" t="n">
        <x:f>-'Income Statement'!F13</x:f>
        <x:v>20</x:v>
      </x:c>
      <x:c r="G7" s="47" t="n">
        <x:f>-'Income Statement'!G13</x:f>
        <x:v>20</x:v>
      </x:c>
      <x:c r="H7" s="47" t="n">
        <x:f>-'Income Statement'!H13</x:f>
        <x:v>20</x:v>
      </x:c>
      <x:c r="I7" s="47" t="n">
        <x:f>-'Income Statement'!I13</x:f>
        <x:v>20</x:v>
      </x:c>
      <x:c r="J7" s="47" t="n">
        <x:f>-'Income Statement'!J13</x:f>
        <x:v>20</x:v>
      </x:c>
      <x:c r="K7" s="47" t="n">
        <x:f>-'Income Statement'!K13</x:f>
        <x:v>20</x:v>
      </x:c>
      <x:c r="L7" s="47" t="n">
        <x:f>-'Income Statement'!L13</x:f>
        <x:v>20</x:v>
      </x:c>
      <x:c r="M7" s="47" t="n">
        <x:f>-'Income Statement'!M13</x:f>
        <x:v>20</x:v>
      </x:c>
      <x:c r="N7" s="47" t="n">
        <x:f>-'Income Statement'!N13</x:f>
        <x:v>20</x:v>
      </x:c>
      <x:c r="O7" s="47" t="n">
        <x:f>-'Income Statement'!O13</x:f>
        <x:v>20</x:v>
      </x:c>
      <x:c r="P7" s="47" t="n">
        <x:f>-'Income Statement'!P13</x:f>
        <x:v>20</x:v>
      </x:c>
      <x:c r="Q7" s="47" t="n">
        <x:f>-'Income Statement'!Q13</x:f>
        <x:v>20</x:v>
      </x:c>
      <x:c r="R7" s="47" t="n">
        <x:f>-'Income Statement'!R13</x:f>
        <x:v>20</x:v>
      </x:c>
      <x:c r="S7" s="47" t="n">
        <x:f>-'Income Statement'!S13</x:f>
        <x:v>20</x:v>
      </x:c>
      <x:c r="T7" s="47" t="n">
        <x:f>-'Income Statement'!T13</x:f>
        <x:v>20</x:v>
      </x:c>
      <x:c r="U7" s="47" t="n">
        <x:f>-'Income Statement'!U13</x:f>
        <x:v>20</x:v>
      </x:c>
      <x:c r="V7" s="47" t="n">
        <x:f>-'Income Statement'!V13</x:f>
        <x:v>20</x:v>
      </x:c>
      <x:c r="W7" s="47" t="n">
        <x:f>-'Income Statement'!W13</x:f>
        <x:v>20</x:v>
      </x:c>
      <x:c r="X7" s="47" t="n">
        <x:f>-'Income Statement'!X13</x:f>
        <x:v>20</x:v>
      </x:c>
      <x:c r="Y7" s="47" t="n">
        <x:f>-'Income Statement'!Y13</x:f>
        <x:v>20</x:v>
      </x:c>
    </x:row>
    <x:row r="8">
      <x:c r="A8" t="str">
        <x:v>Change in accounts receivable</x:v>
      </x:c>
      <x:c r="B8" s="47" t="n">
        <x:f>-('Balance Sheet'!B7-'Assumptions'!$B$6)</x:f>
        <x:v>-10</x:v>
      </x:c>
      <x:c r="C8" s="47" t="n">
        <x:f>-('Balance Sheet'!C7-'Balance Sheet'!B7)</x:f>
        <x:v>-21</x:v>
      </x:c>
      <x:c r="D8" s="47" t="n">
        <x:f>-('Balance Sheet'!D7-'Balance Sheet'!C7)</x:f>
        <x:v>-25.200000000000045</x:v>
      </x:c>
      <x:c r="E8" s="47" t="n">
        <x:f>-('Balance Sheet'!E7-'Balance Sheet'!D7)</x:f>
        <x:v>-27.404999999999973</x:v>
      </x:c>
      <x:c r="F8" s="47" t="n">
        <x:f>-('Balance Sheet'!F7-'Balance Sheet'!E7)</x:f>
        <x:v>-29.058750000000146</x:v>
      </x:c>
      <x:c r="G8" s="47" t="n">
        <x:f>-('Balance Sheet'!G7-'Balance Sheet'!F7)</x:f>
        <x:v>-30.596737500000017</x:v>
      </x:c>
      <x:c r="H8" s="47" t="n">
        <x:f>-('Balance Sheet'!H7-'Balance Sheet'!G7)</x:f>
        <x:v>-32.15208937500006</x:v>
      </x:c>
      <x:c r="I8" s="47" t="n">
        <x:f>-('Balance Sheet'!I7-'Balance Sheet'!H7)</x:f>
        <x:v>-33.76734834374997</x:v>
      </x:c>
      <x:c r="J8" s="47" t="n">
        <x:f>-('Balance Sheet'!J7-'Balance Sheet'!I7)</x:f>
        <x:v>-35.45801211093749</x:v>
      </x:c>
      <x:c r="K8" s="47" t="n">
        <x:f>-('Balance Sheet'!K7-'Balance Sheet'!J7)</x:f>
        <x:v>-37.231601621484515</x:v>
      </x:c>
      <x:c r="L8" s="47" t="n">
        <x:f>-('Balance Sheet'!L7-'Balance Sheet'!K7)</x:f>
        <x:v>-39.09338837405858</x:v>
      </x:c>
      <x:c r="M8" s="47" t="n">
        <x:f>-('Balance Sheet'!M7-'Balance Sheet'!L7)</x:f>
        <x:v>-41.04811979421174</x:v>
      </x:c>
      <x:c r="N8" s="47" t="n">
        <x:f>-('Balance Sheet'!N7-'Balance Sheet'!M7)</x:f>
        <x:v>-43.10054438435736</x:v>
      </x:c>
      <x:c r="O8" s="47" t="n">
        <x:f>-('Balance Sheet'!O7-'Balance Sheet'!N7)</x:f>
        <x:v>-45.255577183705554</x:v>
      </x:c>
      <x:c r="P8" s="47" t="n">
        <x:f>-('Balance Sheet'!P7-'Balance Sheet'!O7)</x:f>
        <x:v>-47.51835771693004</x:v>
      </x:c>
      <x:c r="Q8" s="47" t="n">
        <x:f>-('Balance Sheet'!Q7-'Balance Sheet'!P7)</x:f>
        <x:v>-49.894276104987966</x:v>
      </x:c>
      <x:c r="R8" s="47" t="n">
        <x:f>-('Balance Sheet'!R7-'Balance Sheet'!Q7)</x:f>
        <x:v>-52.38899006090105</x:v>
      </x:c>
      <x:c r="S8" s="47" t="n">
        <x:f>-('Balance Sheet'!S7-'Balance Sheet'!R7)</x:f>
        <x:v>-55.00843960914517</x:v>
      </x:c>
      <x:c r="T8" s="47" t="n">
        <x:f>-('Balance Sheet'!T7-'Balance Sheet'!S7)</x:f>
        <x:v>-57.758861603162586</x:v>
      </x:c>
      <x:c r="U8" s="47" t="n">
        <x:f>-('Balance Sheet'!U7-'Balance Sheet'!T7)</x:f>
        <x:v>-60.64680468738834</x:v>
      </x:c>
      <x:c r="V8" s="47" t="n">
        <x:f>-('Balance Sheet'!V7-'Balance Sheet'!U7)</x:f>
        <x:v>-63.67914492297814</x:v>
      </x:c>
      <x:c r="W8" s="47" t="n">
        <x:f>-('Balance Sheet'!W7-'Balance Sheet'!V7)</x:f>
        <x:v>-66.86310216949278</x:v>
      </x:c>
      <x:c r="X8" s="47" t="n">
        <x:f>-('Balance Sheet'!X7-'Balance Sheet'!W7)</x:f>
        <x:v>-70.20625727807737</x:v>
      </x:c>
      <x:c r="Y8" s="47" t="n">
        <x:f>-('Balance Sheet'!Y7-'Balance Sheet'!X7)</x:f>
        <x:v>-73.71657014201446</x:v>
      </x:c>
    </x:row>
    <x:row r="9">
      <x:c r="A9" t="str">
        <x:v>Change in deferred revenue</x:v>
      </x:c>
      <x:c r="B9" s="47" t="n">
        <x:f>'Balance Sheet'!B10-'Assumptions'!$B$8</x:f>
        <x:v>360</x:v>
      </x:c>
      <x:c r="C9" s="47" t="n">
        <x:f>'Balance Sheet'!C10-'Balance Sheet'!B10</x:f>
        <x:v>273</x:v>
      </x:c>
      <x:c r="D9" s="47" t="n">
        <x:f>'Balance Sheet'!D10-'Balance Sheet'!C10</x:f>
        <x:v>218.4000000000001</x:v>
      </x:c>
      <x:c r="E9" s="47" t="n">
        <x:f>'Balance Sheet'!E10-'Balance Sheet'!D10</x:f>
        <x:v>184.95749999999998</x:v>
      </x:c>
      <x:c r="F9" s="47" t="n">
        <x:f>'Balance Sheet'!F10-'Balance Sheet'!E10</x:f>
        <x:v>165.36974999999984</x:v>
      </x:c>
      <x:c r="G9" s="47" t="n">
        <x:f>'Balance Sheet'!G10-'Balance Sheet'!F10</x:f>
        <x:v>154.8950812500002</x:v>
      </x:c>
      <x:c r="H9" s="47" t="n">
        <x:f>'Balance Sheet'!H10-'Balance Sheet'!G10</x:f>
        <x:v>150.45678375000034</x:v>
      </x:c>
      <x:c r="I9" s="47" t="n">
        <x:f>'Balance Sheet'!I10-'Balance Sheet'!H10</x:f>
        <x:v>150.0606394218753</x:v>
      </x:c>
      <x:c r="J9" s="47" t="n">
        <x:f>'Balance Sheet'!J10-'Balance Sheet'!I10</x:f>
        <x:v>152.41633210781265</x:v>
      </x:c>
      <x:c r="K9" s="47" t="n">
        <x:f>'Balance Sheet'!K10-'Balance Sheet'!J10</x:f>
        <x:v>156.69137817785213</x:v>
      </x:c>
      <x:c r="L9" s="47" t="n">
        <x:f>'Balance Sheet'!L10-'Balance Sheet'!K10</x:f>
        <x:v>162.35119623876562</x:v>
      </x:c>
      <x:c r="M9" s="47" t="n">
        <x:f>'Balance Sheet'!M10-'Balance Sheet'!L10</x:f>
        <x:v>169.05516799951783</x:v>
      </x:c>
      <x:c r="N9" s="47" t="n">
        <x:f>'Balance Sheet'!N10-'Balance Sheet'!M10</x:f>
        <x:v>176.58909416622328</x:v>
      </x:c>
      <x:c r="O9" s="47" t="n">
        <x:f>'Balance Sheet'!O10-'Balance Sheet'!N10</x:f>
        <x:v>184.8213079229081</x:v>
      </x:c>
      <x:c r="P9" s="47" t="n">
        <x:f>'Balance Sheet'!P10-'Balance Sheet'!O10</x:f>
        <x:v>193.6741667004967</x:v>
      </x:c>
      <x:c r="Q9" s="47" t="n">
        <x:f>'Balance Sheet'!Q10-'Balance Sheet'!P10</x:f>
        <x:v>203.10554073345975</x:v>
      </x:c>
      <x:c r="R9" s="47" t="n">
        <x:f>'Balance Sheet'!R10-'Balance Sheet'!Q10</x:f>
        <x:v>213.09680047379243</x:v>
      </x:c>
      <x:c r="S9" s="47" t="n">
        <x:f>'Balance Sheet'!S10-'Balance Sheet'!R10</x:f>
        <x:v>223.64502925486067</x:v>
      </x:c>
      <x:c r="T9" s="47" t="n">
        <x:f>'Balance Sheet'!T10-'Balance Sheet'!S10</x:f>
        <x:v>234.75798340989968</x:v>
      </x:c>
      <x:c r="U9" s="47" t="n">
        <x:f>'Balance Sheet'!U10-'Balance Sheet'!T10</x:f>
        <x:v>246.45083933038768</x:v>
      </x:c>
      <x:c r="V9" s="47" t="n">
        <x:f>'Balance Sheet'!V10-'Balance Sheet'!U10</x:f>
        <x:v>258.74410318440096</x:v>
      </x:c>
      <x:c r="W9" s="47" t="n">
        <x:f>'Balance Sheet'!W10-'Balance Sheet'!V10</x:f>
        <x:v>271.66227757049455</x:v>
      </x:c>
      <x:c r="X9" s="47" t="n">
        <x:f>'Balance Sheet'!X10-'Balance Sheet'!W10</x:f>
        <x:v>285.2330214464855</x:v>
      </x:c>
      <x:c r="Y9" s="47" t="n">
        <x:f>'Balance Sheet'!Y10-'Balance Sheet'!X10</x:f>
        <x:v>299.4866320171632</x:v>
      </x:c>
    </x:row>
    <x:row r="10">
      <x:c r="A10" t="str">
        <x:v>Change in accounts payable</x:v>
      </x:c>
      <x:c r="B10" s="47" t="n">
        <x:f>'Balance Sheet'!B11-'Assumptions'!$B$7</x:f>
        <x:v>-3.7000000000000455</x:v>
      </x:c>
      <x:c r="C10" s="47" t="n">
        <x:f>'Balance Sheet'!C11-'Balance Sheet'!B11</x:f>
        <x:v>9.365000000000009</x:v>
      </x:c>
      <x:c r="D10" s="47" t="n">
        <x:f>'Balance Sheet'!D11-'Balance Sheet'!C11</x:f>
        <x:v>10.57325000000003</x:v>
      </x:c>
      <x:c r="E10" s="47" t="n">
        <x:f>'Balance Sheet'!E11-'Balance Sheet'!D11</x:f>
        <x:v>9.614787500000034</x:v>
      </x:c>
      <x:c r="F10" s="47" t="n">
        <x:f>'Balance Sheet'!F11-'Balance Sheet'!E11</x:f>
        <x:v>8.63686437499996</x:v>
      </x:c>
      <x:c r="G10" s="47" t="n">
        <x:f>'Balance Sheet'!G11-'Balance Sheet'!F11</x:f>
        <x:v>7.997569156249938</x:v>
      </x:c>
      <x:c r="H10" s="47" t="n">
        <x:f>'Balance Sheet'!H11-'Balance Sheet'!G11</x:f>
        <x:v>7.670455676562597</x:v>
      </x:c>
      <x:c r="I10" s="47" t="n">
        <x:f>'Balance Sheet'!I11-'Balance Sheet'!H11</x:f>
        <x:v>7.573745712734535</x:v>
      </x:c>
      <x:c r="J10" s="47" t="n">
        <x:f>'Balance Sheet'!J11-'Balance Sheet'!I11</x:f>
        <x:v>7.638359715323986</x:v>
      </x:c>
      <x:c r="K10" s="47" t="n">
        <x:f>'Balance Sheet'!K11-'Balance Sheet'!J11</x:f>
        <x:v>7.815649567842456</x:v>
      </x:c>
      <x:c r="L10" s="47" t="n">
        <x:f>'Balance Sheet'!L11-'Balance Sheet'!K11</x:f>
        <x:v>8.07330363480628</x:v>
      </x:c>
      <x:c r="M10" s="47" t="n">
        <x:f>'Balance Sheet'!M11-'Balance Sheet'!L11</x:f>
        <x:v>8.390405317914428</x:v>
      </x:c>
      <x:c r="N10" s="47" t="n">
        <x:f>'Balance Sheet'!N11-'Balance Sheet'!M11</x:f>
        <x:v>8.753651801897604</x:v>
      </x:c>
      <x:c r="O10" s="47" t="n">
        <x:f>'Balance Sheet'!O11-'Balance Sheet'!N11</x:f>
        <x:v>9.15475455679939</x:v>
      </x:c>
      <x:c r="P10" s="47" t="n">
        <x:f>'Balance Sheet'!P11-'Balance Sheet'!O11</x:f>
        <x:v>9.588714922526378</x:v>
      </x:c>
      <x:c r="Q10" s="47" t="n">
        <x:f>'Balance Sheet'!Q11-'Balance Sheet'!P11</x:f>
        <x:v>10.05269526596976</x:v>
      </x:c>
      <x:c r="R10" s="47" t="n">
        <x:f>'Balance Sheet'!R11-'Balance Sheet'!Q11</x:f>
        <x:v>10.545283988196843</x:v>
      </x:c>
      <x:c r="S10" s="47" t="n">
        <x:f>'Balance Sheet'!S11-'Balance Sheet'!R11</x:f>
        <x:v>11.066018253578477</x:v>
      </x:c>
      <x:c r="T10" s="47" t="n">
        <x:f>'Balance Sheet'!T11-'Balance Sheet'!S11</x:f>
        <x:v>11.615074707306349</x:v>
      </x:c>
      <x:c r="U10" s="47" t="n">
        <x:f>'Balance Sheet'!U11-'Balance Sheet'!T11</x:f>
        <x:v>12.193069543894808</x:v>
      </x:c>
      <x:c r="V10" s="47" t="n">
        <x:f>'Balance Sheet'!V11-'Balance Sheet'!U11</x:f>
        <x:v>12.800929736770513</x:v>
      </x:c>
      <x:c r="W10" s="47" t="n">
        <x:f>'Balance Sheet'!W11-'Balance Sheet'!V11</x:f>
        <x:v>13.439810588772843</x:v>
      </x:c>
      <x:c r="X10" s="47" t="n">
        <x:f>'Balance Sheet'!X11-'Balance Sheet'!W11</x:f>
        <x:v>14.111043455560775</x:v>
      </x:c>
      <x:c r="Y10" s="47" t="n">
        <x:f>'Balance Sheet'!Y11-'Balance Sheet'!X11</x:f>
        <x:v>14.81610314761383</x:v>
      </x:c>
    </x:row>
    <x:row r="11">
      <x:c r="A11" s="54" t="str">
        <x:v>Cash flow from operations</x:v>
      </x:c>
      <x:c r="B11" s="52" t="n">
        <x:f>SUM(B6:B10)</x:f>
        <x:v>291.0999999999999</x:v>
      </x:c>
      <x:c r="C11" s="52" t="n">
        <x:f>SUM(C6:C10)</x:f>
        <x:v>312.0049999999999</x:v>
      </x:c>
      <x:c r="D11" s="52" t="n">
        <x:f>SUM(D6:D10)</x:f>
        <x:v>339.08525</x:v>
      </x:c>
      <x:c r="E11" s="52" t="n">
        <x:f>SUM(E6:E10)</x:f>
        <x:v>374.1858874999999</x:v>
      </x:c>
      <x:c r="F11" s="52" t="n">
        <x:f>SUM(F6:F10)</x:f>
        <x:v>416.0790443749996</x:v>
      </x:c>
      <x:c r="G11" s="52" t="n">
        <x:f>SUM(G6:G10)</x:f>
        <x:v>463.47872440624997</x:v>
      </x:c>
      <x:c r="H11" s="52" t="n">
        <x:f>SUM(H6:H10)</x:f>
        <x:v>515.4888992515628</x:v>
      </x:c>
      <x:c r="I11" s="52" t="n">
        <x:f>SUM(I6:I10)</x:f>
        <x:v>571.5581415821102</x:v>
      </x:c>
      <x:c r="J11" s="52" t="n">
        <x:f>SUM(J6:J10)</x:f>
        <x:v>631.3784240283244</x:v>
      </x:c>
      <x:c r="K11" s="52" t="n">
        <x:f>SUM(K6:K10)</x:f>
        <x:v>694.8052124415949</x:v>
      </x:c>
      <x:c r="L11" s="52" t="n">
        <x:f>SUM(L6:L10)</x:f>
        <x:v>761.8032077433118</x:v>
      </x:c>
      <x:c r="M11" s="52" t="n">
        <x:f>SUM(M6:M10)</x:f>
        <x:v>832.410937976063</x:v>
      </x:c>
      <x:c r="N11" s="52" t="n">
        <x:f>SUM(N6:N10)</x:f>
        <x:v>906.717919467203</x:v>
      </x:c>
      <x:c r="O11" s="52" t="n">
        <x:f>SUM(O6:O10)</x:f>
        <x:v>984.8500025587848</x:v>
      </x:c>
      <x:c r="P11" s="52" t="n">
        <x:f>SUM(P6:P10)</x:f>
        <x:v>1066.9600257973757</x:v>
      </x:c>
      <x:c r="Q11" s="52" t="n">
        <x:f>SUM(Q6:Q10)</x:f>
        <x:v>1153.2219175777732</x:v>
      </x:c>
      <x:c r="R11" s="52" t="n">
        <x:f>SUM(R6:R10)</x:f>
        <x:v>1243.8270424219515</x:v>
      </x:c>
      <x:c r="S11" s="52" t="n">
        <x:f>SUM(S6:S10)</x:f>
        <x:v>1338.9820134158879</x:v>
      </x:c>
      <x:c r="T11" s="52" t="n">
        <x:f>SUM(T6:T10)</x:f>
        <x:v>1438.907466368014</x:v>
      </x:c>
      <x:c r="U11" s="52" t="n">
        <x:f>SUM(U6:U10)</x:f>
        <x:v>1543.8374686735685</x:v>
      </x:c>
      <x:c r="V11" s="52" t="n">
        <x:f>SUM(V6:V10)</x:f>
        <x:v>1654.0193509502049</x:v>
      </x:c>
      <x:c r="W11" s="52" t="n">
        <x:f>SUM(W6:W10)</x:f>
        <x:v>1769.7138242460394</x:v>
      </x:c>
      <x:c r="X11" s="52" t="n">
        <x:f>SUM(X6:X10)</x:f>
        <x:v>1891.1952941948712</x:v>
      </x:c>
      <x:c r="Y11" s="52" t="n">
        <x:f>SUM(Y6:Y10)</x:f>
        <x:v>2018.7523150833958</x:v>
      </x:c>
    </x:row>
    <x:row r="12">
      <x:c r="A12" t="str">
        <x:v>Capital expenditure</x:v>
      </x:c>
      <x:c r="B12" s="47" t="n">
        <x:f>-'Assumptions'!$B$20</x:f>
        <x:v>-40</x:v>
      </x:c>
      <x:c r="C12" s="47" t="n">
        <x:f>-'Assumptions'!$B$20</x:f>
        <x:v>-40</x:v>
      </x:c>
      <x:c r="D12" s="47" t="n">
        <x:f>-'Assumptions'!$B$20</x:f>
        <x:v>-40</x:v>
      </x:c>
      <x:c r="E12" s="47" t="n">
        <x:f>-'Assumptions'!$B$20</x:f>
        <x:v>-40</x:v>
      </x:c>
      <x:c r="F12" s="47" t="n">
        <x:f>-'Assumptions'!$B$20</x:f>
        <x:v>-40</x:v>
      </x:c>
      <x:c r="G12" s="47" t="n">
        <x:f>-'Assumptions'!$B$20</x:f>
        <x:v>-40</x:v>
      </x:c>
      <x:c r="H12" s="47" t="n">
        <x:f>-'Assumptions'!$B$20</x:f>
        <x:v>-40</x:v>
      </x:c>
      <x:c r="I12" s="47" t="n">
        <x:f>-'Assumptions'!$B$20</x:f>
        <x:v>-40</x:v>
      </x:c>
      <x:c r="J12" s="47" t="n">
        <x:f>-'Assumptions'!$B$20</x:f>
        <x:v>-40</x:v>
      </x:c>
      <x:c r="K12" s="47" t="n">
        <x:f>-'Assumptions'!$B$20</x:f>
        <x:v>-40</x:v>
      </x:c>
      <x:c r="L12" s="47" t="n">
        <x:f>-'Assumptions'!$B$20</x:f>
        <x:v>-40</x:v>
      </x:c>
      <x:c r="M12" s="47" t="n">
        <x:f>-'Assumptions'!$B$20</x:f>
        <x:v>-40</x:v>
      </x:c>
      <x:c r="N12" s="47" t="n">
        <x:f>-'Assumptions'!$B$20</x:f>
        <x:v>-40</x:v>
      </x:c>
      <x:c r="O12" s="47" t="n">
        <x:f>-'Assumptions'!$B$20</x:f>
        <x:v>-40</x:v>
      </x:c>
      <x:c r="P12" s="47" t="n">
        <x:f>-'Assumptions'!$B$20</x:f>
        <x:v>-40</x:v>
      </x:c>
      <x:c r="Q12" s="47" t="n">
        <x:f>-'Assumptions'!$B$20</x:f>
        <x:v>-40</x:v>
      </x:c>
      <x:c r="R12" s="47" t="n">
        <x:f>-'Assumptions'!$B$20</x:f>
        <x:v>-40</x:v>
      </x:c>
      <x:c r="S12" s="47" t="n">
        <x:f>-'Assumptions'!$B$20</x:f>
        <x:v>-40</x:v>
      </x:c>
      <x:c r="T12" s="47" t="n">
        <x:f>-'Assumptions'!$B$20</x:f>
        <x:v>-40</x:v>
      </x:c>
      <x:c r="U12" s="47" t="n">
        <x:f>-'Assumptions'!$B$20</x:f>
        <x:v>-40</x:v>
      </x:c>
      <x:c r="V12" s="47" t="n">
        <x:f>-'Assumptions'!$B$20</x:f>
        <x:v>-40</x:v>
      </x:c>
      <x:c r="W12" s="47" t="n">
        <x:f>-'Assumptions'!$B$20</x:f>
        <x:v>-40</x:v>
      </x:c>
      <x:c r="X12" s="47" t="n">
        <x:f>-'Assumptions'!$B$20</x:f>
        <x:v>-40</x:v>
      </x:c>
      <x:c r="Y12" s="47" t="n">
        <x:f>-'Assumptions'!$B$20</x:f>
        <x:v>-40</x:v>
      </x:c>
    </x:row>
    <x:row r="13">
      <x:c r="A13" s="54" t="str">
        <x:v>Cash flow from investing</x:v>
      </x:c>
      <x:c r="B13" s="52" t="n">
        <x:f>B12</x:f>
        <x:v>-40</x:v>
      </x:c>
      <x:c r="C13" s="52" t="n">
        <x:f>C12</x:f>
        <x:v>-40</x:v>
      </x:c>
      <x:c r="D13" s="52" t="n">
        <x:f>D12</x:f>
        <x:v>-40</x:v>
      </x:c>
      <x:c r="E13" s="52" t="n">
        <x:f>E12</x:f>
        <x:v>-40</x:v>
      </x:c>
      <x:c r="F13" s="52" t="n">
        <x:f>F12</x:f>
        <x:v>-40</x:v>
      </x:c>
      <x:c r="G13" s="52" t="n">
        <x:f>G12</x:f>
        <x:v>-40</x:v>
      </x:c>
      <x:c r="H13" s="52" t="n">
        <x:f>H12</x:f>
        <x:v>-40</x:v>
      </x:c>
      <x:c r="I13" s="52" t="n">
        <x:f>I12</x:f>
        <x:v>-40</x:v>
      </x:c>
      <x:c r="J13" s="52" t="n">
        <x:f>J12</x:f>
        <x:v>-40</x:v>
      </x:c>
      <x:c r="K13" s="52" t="n">
        <x:f>K12</x:f>
        <x:v>-40</x:v>
      </x:c>
      <x:c r="L13" s="52" t="n">
        <x:f>L12</x:f>
        <x:v>-40</x:v>
      </x:c>
      <x:c r="M13" s="52" t="n">
        <x:f>M12</x:f>
        <x:v>-40</x:v>
      </x:c>
      <x:c r="N13" s="52" t="n">
        <x:f>N12</x:f>
        <x:v>-40</x:v>
      </x:c>
      <x:c r="O13" s="52" t="n">
        <x:f>O12</x:f>
        <x:v>-40</x:v>
      </x:c>
      <x:c r="P13" s="52" t="n">
        <x:f>P12</x:f>
        <x:v>-40</x:v>
      </x:c>
      <x:c r="Q13" s="52" t="n">
        <x:f>Q12</x:f>
        <x:v>-40</x:v>
      </x:c>
      <x:c r="R13" s="52" t="n">
        <x:f>R12</x:f>
        <x:v>-40</x:v>
      </x:c>
      <x:c r="S13" s="52" t="n">
        <x:f>S12</x:f>
        <x:v>-40</x:v>
      </x:c>
      <x:c r="T13" s="52" t="n">
        <x:f>T12</x:f>
        <x:v>-40</x:v>
      </x:c>
      <x:c r="U13" s="52" t="n">
        <x:f>U12</x:f>
        <x:v>-40</x:v>
      </x:c>
      <x:c r="V13" s="52" t="n">
        <x:f>V12</x:f>
        <x:v>-40</x:v>
      </x:c>
      <x:c r="W13" s="52" t="n">
        <x:f>W12</x:f>
        <x:v>-40</x:v>
      </x:c>
      <x:c r="X13" s="52" t="n">
        <x:f>X12</x:f>
        <x:v>-40</x:v>
      </x:c>
      <x:c r="Y13" s="52" t="n">
        <x:f>Y12</x:f>
        <x:v>-40</x:v>
      </x:c>
    </x:row>
    <x:row r="14">
      <x:c r="A14" t="str">
        <x:v>Debt principal</x:v>
      </x:c>
      <x:c r="B14" s="47" t="n">
        <x:f>-'Assumptions'!$B$21</x:f>
        <x:v>0</x:v>
      </x:c>
      <x:c r="C14" s="47" t="n">
        <x:f>-'Assumptions'!$B$21</x:f>
        <x:v>0</x:v>
      </x:c>
      <x:c r="D14" s="47" t="n">
        <x:f>-'Assumptions'!$B$21</x:f>
        <x:v>0</x:v>
      </x:c>
      <x:c r="E14" s="47" t="n">
        <x:f>-'Assumptions'!$B$21</x:f>
        <x:v>0</x:v>
      </x:c>
      <x:c r="F14" s="47" t="n">
        <x:f>-'Assumptions'!$B$21</x:f>
        <x:v>0</x:v>
      </x:c>
      <x:c r="G14" s="47" t="n">
        <x:f>-'Assumptions'!$B$21</x:f>
        <x:v>0</x:v>
      </x:c>
      <x:c r="H14" s="47" t="n">
        <x:f>-'Assumptions'!$B$21</x:f>
        <x:v>0</x:v>
      </x:c>
      <x:c r="I14" s="47" t="n">
        <x:f>-'Assumptions'!$B$21</x:f>
        <x:v>0</x:v>
      </x:c>
      <x:c r="J14" s="47" t="n">
        <x:f>-'Assumptions'!$B$21</x:f>
        <x:v>0</x:v>
      </x:c>
      <x:c r="K14" s="47" t="n">
        <x:f>-'Assumptions'!$B$21</x:f>
        <x:v>0</x:v>
      </x:c>
      <x:c r="L14" s="47" t="n">
        <x:f>-'Assumptions'!$B$21</x:f>
        <x:v>0</x:v>
      </x:c>
      <x:c r="M14" s="47" t="n">
        <x:f>-'Assumptions'!$B$21</x:f>
        <x:v>0</x:v>
      </x:c>
      <x:c r="N14" s="47" t="n">
        <x:f>-'Assumptions'!$B$21</x:f>
        <x:v>0</x:v>
      </x:c>
      <x:c r="O14" s="47" t="n">
        <x:f>-'Assumptions'!$B$21</x:f>
        <x:v>0</x:v>
      </x:c>
      <x:c r="P14" s="47" t="n">
        <x:f>-'Assumptions'!$B$21</x:f>
        <x:v>0</x:v>
      </x:c>
      <x:c r="Q14" s="47" t="n">
        <x:f>-'Assumptions'!$B$21</x:f>
        <x:v>0</x:v>
      </x:c>
      <x:c r="R14" s="47" t="n">
        <x:f>-'Assumptions'!$B$21</x:f>
        <x:v>0</x:v>
      </x:c>
      <x:c r="S14" s="47" t="n">
        <x:f>-'Assumptions'!$B$21</x:f>
        <x:v>0</x:v>
      </x:c>
      <x:c r="T14" s="47" t="n">
        <x:f>-'Assumptions'!$B$21</x:f>
        <x:v>0</x:v>
      </x:c>
      <x:c r="U14" s="47" t="n">
        <x:f>-'Assumptions'!$B$21</x:f>
        <x:v>0</x:v>
      </x:c>
      <x:c r="V14" s="47" t="n">
        <x:f>-'Assumptions'!$B$21</x:f>
        <x:v>0</x:v>
      </x:c>
      <x:c r="W14" s="47" t="n">
        <x:f>-'Assumptions'!$B$21</x:f>
        <x:v>0</x:v>
      </x:c>
      <x:c r="X14" s="47" t="n">
        <x:f>-'Assumptions'!$B$21</x:f>
        <x:v>0</x:v>
      </x:c>
      <x:c r="Y14" s="47" t="n">
        <x:f>-'Assumptions'!$B$21</x:f>
        <x:v>0</x:v>
      </x:c>
    </x:row>
    <x:row r="15">
      <x:c r="A15" t="str">
        <x:v>HQ equity funding</x:v>
      </x:c>
      <x:c r="B15" s="47" t="n">
        <x:f>IF(COLUMN()-1='Assumptions'!$B$26,'Assumptions'!$C$26,0)</x:f>
        <x:v>0</x:v>
      </x:c>
      <x:c r="C15" s="47" t="n">
        <x:f>IF(COLUMN()-1='Assumptions'!$B$26,'Assumptions'!$C$26,0)</x:f>
        <x:v>0</x:v>
      </x:c>
      <x:c r="D15" s="47" t="n">
        <x:f>IF(COLUMN()-1='Assumptions'!$B$26,'Assumptions'!$C$26,0)</x:f>
        <x:v>0</x:v>
      </x:c>
      <x:c r="E15" s="47" t="n">
        <x:f>IF(COLUMN()-1='Assumptions'!$B$26,'Assumptions'!$C$26,0)</x:f>
        <x:v>0</x:v>
      </x:c>
      <x:c r="F15" s="47" t="n">
        <x:f>IF(COLUMN()-1='Assumptions'!$B$26,'Assumptions'!$C$26,0)</x:f>
        <x:v>0</x:v>
      </x:c>
      <x:c r="G15" s="47" t="n">
        <x:f>IF(COLUMN()-1='Assumptions'!$B$26,'Assumptions'!$C$26,0)</x:f>
        <x:v>0</x:v>
      </x:c>
      <x:c r="H15" s="47" t="n">
        <x:f>IF(COLUMN()-1='Assumptions'!$B$26,'Assumptions'!$C$26,0)</x:f>
        <x:v>4000</x:v>
      </x:c>
      <x:c r="I15" s="47" t="n">
        <x:f>IF(COLUMN()-1='Assumptions'!$B$26,'Assumptions'!$C$26,0)</x:f>
        <x:v>0</x:v>
      </x:c>
      <x:c r="J15" s="47" t="n">
        <x:f>IF(COLUMN()-1='Assumptions'!$B$26,'Assumptions'!$C$26,0)</x:f>
        <x:v>0</x:v>
      </x:c>
      <x:c r="K15" s="47" t="n">
        <x:f>IF(COLUMN()-1='Assumptions'!$B$26,'Assumptions'!$C$26,0)</x:f>
        <x:v>0</x:v>
      </x:c>
      <x:c r="L15" s="47" t="n">
        <x:f>IF(COLUMN()-1='Assumptions'!$B$26,'Assumptions'!$C$26,0)</x:f>
        <x:v>0</x:v>
      </x:c>
      <x:c r="M15" s="47" t="n">
        <x:f>IF(COLUMN()-1='Assumptions'!$B$26,'Assumptions'!$C$26,0)</x:f>
        <x:v>0</x:v>
      </x:c>
      <x:c r="N15" s="47" t="n">
        <x:f>IF(COLUMN()-1='Assumptions'!$B$26,'Assumptions'!$C$26,0)</x:f>
        <x:v>0</x:v>
      </x:c>
      <x:c r="O15" s="47" t="n">
        <x:f>IF(COLUMN()-1='Assumptions'!$B$26,'Assumptions'!$C$26,0)</x:f>
        <x:v>0</x:v>
      </x:c>
      <x:c r="P15" s="47" t="n">
        <x:f>IF(COLUMN()-1='Assumptions'!$B$26,'Assumptions'!$C$26,0)</x:f>
        <x:v>0</x:v>
      </x:c>
      <x:c r="Q15" s="47" t="n">
        <x:f>IF(COLUMN()-1='Assumptions'!$B$26,'Assumptions'!$C$26,0)</x:f>
        <x:v>0</x:v>
      </x:c>
      <x:c r="R15" s="47" t="n">
        <x:f>IF(COLUMN()-1='Assumptions'!$B$26,'Assumptions'!$C$26,0)</x:f>
        <x:v>0</x:v>
      </x:c>
      <x:c r="S15" s="47" t="n">
        <x:f>IF(COLUMN()-1='Assumptions'!$B$26,'Assumptions'!$C$26,0)</x:f>
        <x:v>0</x:v>
      </x:c>
      <x:c r="T15" s="47" t="n">
        <x:f>IF(COLUMN()-1='Assumptions'!$B$26,'Assumptions'!$C$26,0)</x:f>
        <x:v>0</x:v>
      </x:c>
      <x:c r="U15" s="47" t="n">
        <x:f>IF(COLUMN()-1='Assumptions'!$B$26,'Assumptions'!$C$26,0)</x:f>
        <x:v>0</x:v>
      </x:c>
      <x:c r="V15" s="47" t="n">
        <x:f>IF(COLUMN()-1='Assumptions'!$B$26,'Assumptions'!$C$26,0)</x:f>
        <x:v>0</x:v>
      </x:c>
      <x:c r="W15" s="47" t="n">
        <x:f>IF(COLUMN()-1='Assumptions'!$B$26,'Assumptions'!$C$26,0)</x:f>
        <x:v>0</x:v>
      </x:c>
      <x:c r="X15" s="47" t="n">
        <x:f>IF(COLUMN()-1='Assumptions'!$B$26,'Assumptions'!$C$26,0)</x:f>
        <x:v>0</x:v>
      </x:c>
      <x:c r="Y15" s="47" t="n">
        <x:f>IF(COLUMN()-1='Assumptions'!$B$26,'Assumptions'!$C$26,0)</x:f>
        <x:v>0</x:v>
      </x:c>
    </x:row>
    <x:row r="16">
      <x:c r="A16" s="54" t="str">
        <x:v>Cash flow from financing</x:v>
      </x:c>
      <x:c r="B16" s="52" t="n">
        <x:f>SUM(B14:B15)</x:f>
        <x:v>0</x:v>
      </x:c>
      <x:c r="C16" s="52" t="n">
        <x:f>SUM(C14:C15)</x:f>
        <x:v>0</x:v>
      </x:c>
      <x:c r="D16" s="52" t="n">
        <x:f>SUM(D14:D15)</x:f>
        <x:v>0</x:v>
      </x:c>
      <x:c r="E16" s="52" t="n">
        <x:f>SUM(E14:E15)</x:f>
        <x:v>0</x:v>
      </x:c>
      <x:c r="F16" s="52" t="n">
        <x:f>SUM(F14:F15)</x:f>
        <x:v>0</x:v>
      </x:c>
      <x:c r="G16" s="52" t="n">
        <x:f>SUM(G14:G15)</x:f>
        <x:v>0</x:v>
      </x:c>
      <x:c r="H16" s="52" t="n">
        <x:f>SUM(H14:H15)</x:f>
        <x:v>4000</x:v>
      </x:c>
      <x:c r="I16" s="52" t="n">
        <x:f>SUM(I14:I15)</x:f>
        <x:v>0</x:v>
      </x:c>
      <x:c r="J16" s="52" t="n">
        <x:f>SUM(J14:J15)</x:f>
        <x:v>0</x:v>
      </x:c>
      <x:c r="K16" s="52" t="n">
        <x:f>SUM(K14:K15)</x:f>
        <x:v>0</x:v>
      </x:c>
      <x:c r="L16" s="52" t="n">
        <x:f>SUM(L14:L15)</x:f>
        <x:v>0</x:v>
      </x:c>
      <x:c r="M16" s="52" t="n">
        <x:f>SUM(M14:M15)</x:f>
        <x:v>0</x:v>
      </x:c>
      <x:c r="N16" s="52" t="n">
        <x:f>SUM(N14:N15)</x:f>
        <x:v>0</x:v>
      </x:c>
      <x:c r="O16" s="52" t="n">
        <x:f>SUM(O14:O15)</x:f>
        <x:v>0</x:v>
      </x:c>
      <x:c r="P16" s="52" t="n">
        <x:f>SUM(P14:P15)</x:f>
        <x:v>0</x:v>
      </x:c>
      <x:c r="Q16" s="52" t="n">
        <x:f>SUM(Q14:Q15)</x:f>
        <x:v>0</x:v>
      </x:c>
      <x:c r="R16" s="52" t="n">
        <x:f>SUM(R14:R15)</x:f>
        <x:v>0</x:v>
      </x:c>
      <x:c r="S16" s="52" t="n">
        <x:f>SUM(S14:S15)</x:f>
        <x:v>0</x:v>
      </x:c>
      <x:c r="T16" s="52" t="n">
        <x:f>SUM(T14:T15)</x:f>
        <x:v>0</x:v>
      </x:c>
      <x:c r="U16" s="52" t="n">
        <x:f>SUM(U14:U15)</x:f>
        <x:v>0</x:v>
      </x:c>
      <x:c r="V16" s="52" t="n">
        <x:f>SUM(V14:V15)</x:f>
        <x:v>0</x:v>
      </x:c>
      <x:c r="W16" s="52" t="n">
        <x:f>SUM(W14:W15)</x:f>
        <x:v>0</x:v>
      </x:c>
      <x:c r="X16" s="52" t="n">
        <x:f>SUM(X14:X15)</x:f>
        <x:v>0</x:v>
      </x:c>
      <x:c r="Y16" s="52" t="n">
        <x:f>SUM(Y14:Y15)</x:f>
        <x:v>0</x:v>
      </x:c>
    </x:row>
    <x:row r="17">
      <x:c r="A17" t="str">
        <x:v>FX effect</x:v>
      </x:c>
      <x:c r="B17" s="30" t="n">
        <x:v>0</x:v>
      </x:c>
      <x:c r="C17" s="30" t="n">
        <x:v>0</x:v>
      </x:c>
      <x:c r="D17" s="30" t="n">
        <x:v>0</x:v>
      </x:c>
      <x:c r="E17" s="30" t="n">
        <x:v>0</x:v>
      </x:c>
      <x:c r="F17" s="30" t="n">
        <x:v>0</x:v>
      </x:c>
      <x:c r="G17" s="30" t="n">
        <x:v>0</x:v>
      </x:c>
      <x:c r="H17" s="30" t="n">
        <x:v>0</x:v>
      </x:c>
      <x:c r="I17" s="30" t="n">
        <x:v>0</x:v>
      </x:c>
      <x:c r="J17" s="30" t="n">
        <x:v>0</x:v>
      </x:c>
      <x:c r="K17" s="30" t="n">
        <x:v>0</x:v>
      </x:c>
      <x:c r="L17" s="30" t="n">
        <x:v>0</x:v>
      </x:c>
      <x:c r="M17" s="30" t="n">
        <x:v>0</x:v>
      </x:c>
      <x:c r="N17" s="30" t="n">
        <x:v>0</x:v>
      </x:c>
      <x:c r="O17" s="30" t="n">
        <x:v>0</x:v>
      </x:c>
      <x:c r="P17" s="30" t="n">
        <x:v>0</x:v>
      </x:c>
      <x:c r="Q17" s="30" t="n">
        <x:v>0</x:v>
      </x:c>
      <x:c r="R17" s="30" t="n">
        <x:v>0</x:v>
      </x:c>
      <x:c r="S17" s="30" t="n">
        <x:v>0</x:v>
      </x:c>
      <x:c r="T17" s="30" t="n">
        <x:v>0</x:v>
      </x:c>
      <x:c r="U17" s="30" t="n">
        <x:v>0</x:v>
      </x:c>
      <x:c r="V17" s="30" t="n">
        <x:v>0</x:v>
      </x:c>
      <x:c r="W17" s="30" t="n">
        <x:v>0</x:v>
      </x:c>
      <x:c r="X17" s="30" t="n">
        <x:v>0</x:v>
      </x:c>
      <x:c r="Y17" s="30" t="n">
        <x:v>0</x:v>
      </x:c>
    </x:row>
    <x:row r="18">
      <x:c r="A18" s="54" t="str">
        <x:v>Net change in cash</x:v>
      </x:c>
      <x:c r="B18" s="52" t="n">
        <x:f>SUM(B11,B13,B16:B17)</x:f>
        <x:v>251.0999999999999</x:v>
      </x:c>
      <x:c r="C18" s="52" t="n">
        <x:f>SUM(C11,C13,C16:C17)</x:f>
        <x:v>272.0049999999999</x:v>
      </x:c>
      <x:c r="D18" s="52" t="n">
        <x:f>SUM(D11,D13,D16:D17)</x:f>
        <x:v>299.08525</x:v>
      </x:c>
      <x:c r="E18" s="52" t="n">
        <x:f>SUM(E11,E13,E16:E17)</x:f>
        <x:v>334.1858874999999</x:v>
      </x:c>
      <x:c r="F18" s="52" t="n">
        <x:f>SUM(F11,F13,F16:F17)</x:f>
        <x:v>376.0790443749996</x:v>
      </x:c>
      <x:c r="G18" s="52" t="n">
        <x:f>SUM(G11,G13,G16:G17)</x:f>
        <x:v>423.47872440624997</x:v>
      </x:c>
      <x:c r="H18" s="52" t="n">
        <x:f>SUM(H11,H13,H16:H17)</x:f>
        <x:v>4475.4888992515625</x:v>
      </x:c>
      <x:c r="I18" s="52" t="n">
        <x:f>SUM(I11,I13,I16:I17)</x:f>
        <x:v>531.5581415821102</x:v>
      </x:c>
      <x:c r="J18" s="52" t="n">
        <x:f>SUM(J11,J13,J16:J17)</x:f>
        <x:v>591.3784240283244</x:v>
      </x:c>
      <x:c r="K18" s="52" t="n">
        <x:f>SUM(K11,K13,K16:K17)</x:f>
        <x:v>654.8052124415949</x:v>
      </x:c>
      <x:c r="L18" s="52" t="n">
        <x:f>SUM(L11,L13,L16:L17)</x:f>
        <x:v>721.8032077433118</x:v>
      </x:c>
      <x:c r="M18" s="52" t="n">
        <x:f>SUM(M11,M13,M16:M17)</x:f>
        <x:v>792.410937976063</x:v>
      </x:c>
      <x:c r="N18" s="52" t="n">
        <x:f>SUM(N11,N13,N16:N17)</x:f>
        <x:v>866.717919467203</x:v>
      </x:c>
      <x:c r="O18" s="52" t="n">
        <x:f>SUM(O11,O13,O16:O17)</x:f>
        <x:v>944.8500025587848</x:v>
      </x:c>
      <x:c r="P18" s="52" t="n">
        <x:f>SUM(P11,P13,P16:P17)</x:f>
        <x:v>1026.9600257973757</x:v>
      </x:c>
      <x:c r="Q18" s="52" t="n">
        <x:f>SUM(Q11,Q13,Q16:Q17)</x:f>
        <x:v>1113.2219175777732</x:v>
      </x:c>
      <x:c r="R18" s="52" t="n">
        <x:f>SUM(R11,R13,R16:R17)</x:f>
        <x:v>1203.8270424219515</x:v>
      </x:c>
      <x:c r="S18" s="52" t="n">
        <x:f>SUM(S11,S13,S16:S17)</x:f>
        <x:v>1298.9820134158879</x:v>
      </x:c>
      <x:c r="T18" s="52" t="n">
        <x:f>SUM(T11,T13,T16:T17)</x:f>
        <x:v>1398.907466368014</x:v>
      </x:c>
      <x:c r="U18" s="52" t="n">
        <x:f>SUM(U11,U13,U16:U17)</x:f>
        <x:v>1503.8374686735685</x:v>
      </x:c>
      <x:c r="V18" s="52" t="n">
        <x:f>SUM(V11,V13,V16:V17)</x:f>
        <x:v>1614.0193509502049</x:v>
      </x:c>
      <x:c r="W18" s="52" t="n">
        <x:f>SUM(W11,W13,W16:W17)</x:f>
        <x:v>1729.7138242460394</x:v>
      </x:c>
      <x:c r="X18" s="52" t="n">
        <x:f>SUM(X11,X13,X16:X17)</x:f>
        <x:v>1851.1952941948712</x:v>
      </x:c>
      <x:c r="Y18" s="52" t="n">
        <x:f>SUM(Y11,Y13,Y16:Y17)</x:f>
        <x:v>1978.7523150833958</x:v>
      </x:c>
    </x:row>
    <x:row r="19">
      <x:c r="A19" t="str">
        <x:v>Beginning cash</x:v>
      </x:c>
      <x:c r="B19" s="57" t="n">
        <x:f>'Assumptions'!$B$5</x:f>
        <x:v>6000</x:v>
      </x:c>
      <x:c r="C19" s="57" t="n">
        <x:f>B20</x:f>
        <x:v>6251.1</x:v>
      </x:c>
      <x:c r="D19" s="57" t="n">
        <x:f>C20</x:f>
        <x:v>6523.1050000000005</x:v>
      </x:c>
      <x:c r="E19" s="57" t="n">
        <x:f>D20</x:f>
        <x:v>6822.190250000001</x:v>
      </x:c>
      <x:c r="F19" s="57" t="n">
        <x:f>E20</x:f>
        <x:v>7156.3761375</x:v>
      </x:c>
      <x:c r="G19" s="57" t="n">
        <x:f>F20</x:f>
        <x:v>7532.455181875</x:v>
      </x:c>
      <x:c r="H19" s="57" t="n">
        <x:f>G20</x:f>
        <x:v>7955.93390628125</x:v>
      </x:c>
      <x:c r="I19" s="57" t="n">
        <x:f>H20</x:f>
        <x:v>12431.422805532813</x:v>
      </x:c>
      <x:c r="J19" s="57" t="n">
        <x:f>I20</x:f>
        <x:v>12962.980947114924</x:v>
      </x:c>
      <x:c r="K19" s="57" t="n">
        <x:f>J20</x:f>
        <x:v>13554.359371143248</x:v>
      </x:c>
      <x:c r="L19" s="57" t="n">
        <x:f>K20</x:f>
        <x:v>14209.164583584843</x:v>
      </x:c>
      <x:c r="M19" s="57" t="n">
        <x:f>L20</x:f>
        <x:v>14930.967791328156</x:v>
      </x:c>
      <x:c r="N19" s="57" t="n">
        <x:f>M20</x:f>
        <x:v>15723.378729304219</x:v>
      </x:c>
      <x:c r="O19" s="57" t="n">
        <x:f>N20</x:f>
        <x:v>16590.09664877142</x:v>
      </x:c>
      <x:c r="P19" s="57" t="n">
        <x:f>O20</x:f>
        <x:v>17534.946651330207</x:v>
      </x:c>
      <x:c r="Q19" s="57" t="n">
        <x:f>P20</x:f>
        <x:v>18561.906677127583</x:v>
      </x:c>
      <x:c r="R19" s="57" t="n">
        <x:f>Q20</x:f>
        <x:v>19675.128594705355</x:v>
      </x:c>
      <x:c r="S19" s="57" t="n">
        <x:f>R20</x:f>
        <x:v>20878.955637127307</x:v>
      </x:c>
      <x:c r="T19" s="57" t="n">
        <x:f>S20</x:f>
        <x:v>22177.937650543194</x:v>
      </x:c>
      <x:c r="U19" s="57" t="n">
        <x:f>T20</x:f>
        <x:v>23576.84511691121</x:v>
      </x:c>
      <x:c r="V19" s="57" t="n">
        <x:f>U20</x:f>
        <x:v>25080.68258558478</x:v>
      </x:c>
      <x:c r="W19" s="57" t="n">
        <x:f>V20</x:f>
        <x:v>26694.701936534984</x:v>
      </x:c>
      <x:c r="X19" s="57" t="n">
        <x:f>W20</x:f>
        <x:v>28424.415760781023</x:v>
      </x:c>
      <x:c r="Y19" s="57" t="n">
        <x:f>X20</x:f>
        <x:v>30275.611054975896</x:v>
      </x:c>
    </x:row>
    <x:row r="20">
      <x:c r="A20" s="54" t="str">
        <x:v>Ending cash</x:v>
      </x:c>
      <x:c r="B20" s="52" t="n">
        <x:f>SUM(B18:B19)</x:f>
        <x:v>6251.1</x:v>
      </x:c>
      <x:c r="C20" s="52" t="n">
        <x:f>SUM(C18:C19)</x:f>
        <x:v>6523.1050000000005</x:v>
      </x:c>
      <x:c r="D20" s="52" t="n">
        <x:f>SUM(D18:D19)</x:f>
        <x:v>6822.190250000001</x:v>
      </x:c>
      <x:c r="E20" s="52" t="n">
        <x:f>SUM(E18:E19)</x:f>
        <x:v>7156.3761375</x:v>
      </x:c>
      <x:c r="F20" s="52" t="n">
        <x:f>SUM(F18:F19)</x:f>
        <x:v>7532.455181875</x:v>
      </x:c>
      <x:c r="G20" s="52" t="n">
        <x:f>SUM(G18:G19)</x:f>
        <x:v>7955.93390628125</x:v>
      </x:c>
      <x:c r="H20" s="52" t="n">
        <x:f>SUM(H18:H19)</x:f>
        <x:v>12431.422805532813</x:v>
      </x:c>
      <x:c r="I20" s="52" t="n">
        <x:f>SUM(I18:I19)</x:f>
        <x:v>12962.980947114924</x:v>
      </x:c>
      <x:c r="J20" s="52" t="n">
        <x:f>SUM(J18:J19)</x:f>
        <x:v>13554.359371143248</x:v>
      </x:c>
      <x:c r="K20" s="52" t="n">
        <x:f>SUM(K18:K19)</x:f>
        <x:v>14209.164583584843</x:v>
      </x:c>
      <x:c r="L20" s="52" t="n">
        <x:f>SUM(L18:L19)</x:f>
        <x:v>14930.967791328156</x:v>
      </x:c>
      <x:c r="M20" s="52" t="n">
        <x:f>SUM(M18:M19)</x:f>
        <x:v>15723.378729304219</x:v>
      </x:c>
      <x:c r="N20" s="52" t="n">
        <x:f>SUM(N18:N19)</x:f>
        <x:v>16590.09664877142</x:v>
      </x:c>
      <x:c r="O20" s="52" t="n">
        <x:f>SUM(O18:O19)</x:f>
        <x:v>17534.946651330207</x:v>
      </x:c>
      <x:c r="P20" s="52" t="n">
        <x:f>SUM(P18:P19)</x:f>
        <x:v>18561.906677127583</x:v>
      </x:c>
      <x:c r="Q20" s="52" t="n">
        <x:f>SUM(Q18:Q19)</x:f>
        <x:v>19675.128594705355</x:v>
      </x:c>
      <x:c r="R20" s="52" t="n">
        <x:f>SUM(R18:R19)</x:f>
        <x:v>20878.955637127307</x:v>
      </x:c>
      <x:c r="S20" s="52" t="n">
        <x:f>SUM(S18:S19)</x:f>
        <x:v>22177.937650543194</x:v>
      </x:c>
      <x:c r="T20" s="52" t="n">
        <x:f>SUM(T18:T19)</x:f>
        <x:v>23576.84511691121</x:v>
      </x:c>
      <x:c r="U20" s="52" t="n">
        <x:f>SUM(U18:U19)</x:f>
        <x:v>25080.68258558478</x:v>
      </x:c>
      <x:c r="V20" s="52" t="n">
        <x:f>SUM(V18:V19)</x:f>
        <x:v>26694.701936534984</x:v>
      </x:c>
      <x:c r="W20" s="52" t="n">
        <x:f>SUM(W18:W19)</x:f>
        <x:v>28424.415760781023</x:v>
      </x:c>
      <x:c r="X20" s="52" t="n">
        <x:f>SUM(X18:X19)</x:f>
        <x:v>30275.611054975896</x:v>
      </x:c>
      <x:c r="Y20" s="52" t="n">
        <x:f>SUM(Y18:Y19)</x:f>
        <x:v>32254.36337005929</x:v>
      </x:c>
    </x:row>
  </x:sheetData>
  <x:mergeCells>
    <x:mergeCell ref="A1:Y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2.5" hidden="0" customWidth="1"/>
    <x:col min="3" max="3" width="12.5" hidden="0" customWidth="1"/>
    <x:col min="4" max="4" width="12.5" hidden="0" customWidth="1"/>
    <x:col min="5" max="5" width="12.5" hidden="0" customWidth="1"/>
    <x:col min="6" max="6" width="12.5" hidden="0" customWidth="1"/>
    <x:col min="7" max="7" width="28.75" hidden="0" customWidth="1"/>
  </x:cols>
  <x:sheetData>
    <x:row r="1" ht="26" customHeight="1">
      <x:c r="A1" s="3" t="str">
        <x:v>Checks</x:v>
      </x:c>
      <x:c r="B1" s="3" t="str">
        <x:v>Checks</x:v>
      </x:c>
      <x:c r="C1" s="3" t="str">
        <x:v>Checks</x:v>
      </x:c>
      <x:c r="D1" s="3" t="str">
        <x:v>Checks</x:v>
      </x:c>
      <x:c r="E1" s="3" t="str">
        <x:v>Checks</x:v>
      </x:c>
      <x:c r="F1" s="3" t="str">
        <x:v>Checks</x:v>
      </x:c>
      <x:c r="G1" s="3" t="str">
        <x:v>Checks</x:v>
      </x:c>
    </x:row>
    <x:row r="2" ht="26" customHeight="1">
      <x:c r="A2" s="3" t="str">
        <x:v>Checks</x:v>
      </x:c>
      <x:c r="B2" s="3" t="str">
        <x:v>Checks</x:v>
      </x:c>
      <x:c r="C2" s="3" t="str">
        <x:v>Checks</x:v>
      </x:c>
      <x:c r="D2" s="3" t="str">
        <x:v>Checks</x:v>
      </x:c>
      <x:c r="E2" s="3" t="str">
        <x:v>Checks</x:v>
      </x:c>
      <x:c r="F2" s="3" t="str">
        <x:v>Checks</x:v>
      </x:c>
      <x:c r="G2" s="3" t="str">
        <x:v>Checks</x:v>
      </x:c>
    </x:row>
    <x:row r="4">
      <x:c r="A4" s="23" t="str">
        <x:v>Check</x:v>
      </x:c>
      <x:c r="B4" s="24" t="str">
        <x:v>Actual</x:v>
      </x:c>
      <x:c r="C4" s="24" t="str">
        <x:v>Expected</x:v>
      </x:c>
      <x:c r="D4" s="24" t="str">
        <x:v>Difference</x:v>
      </x:c>
      <x:c r="E4" s="24" t="str">
        <x:v>Tolerance</x:v>
      </x:c>
      <x:c r="F4" s="24" t="str">
        <x:v>Status</x:v>
      </x:c>
      <x:c r="G4" s="25" t="str">
        <x:v>Where to fix</x:v>
      </x:c>
    </x:row>
    <x:row r="5">
      <x:c r="A5" t="str">
        <x:v>Balance sheet balances in final month</x:v>
      </x:c>
      <x:c r="B5" s="58" t="n">
        <x:f>'Balance Sheet'!Y18</x:f>
        <x:v>7.275957614183426e-12</x:v>
      </x:c>
      <x:c r="C5" s="58" t="n">
        <x:v>0</x:v>
      </x:c>
      <x:c r="D5" s="58" t="n">
        <x:f>B5-C5</x:f>
        <x:v>7.275957614183426e-12</x:v>
      </x:c>
      <x:c r="E5" s="58" t="n">
        <x:v>0.01</x:v>
      </x:c>
      <x:c r="F5" s="59" t="str">
        <x:f>IF(ABS(D5)&lt;=E5,"OK","FAIL")</x:f>
        <x:v>OK</x:v>
      </x:c>
      <x:c r="G5" t="str">
        <x:v>Balance Sheet rows 6:17</x:v>
      </x:c>
    </x:row>
    <x:row r="6">
      <x:c r="A6" t="str">
        <x:v>Ending cash ties</x:v>
      </x:c>
      <x:c r="B6" s="58" t="n">
        <x:f>'Balance Sheet'!Y6</x:f>
        <x:v>32254.36337005929</x:v>
      </x:c>
      <x:c r="C6" s="58" t="n">
        <x:f>'Cash Flow'!Y20</x:f>
        <x:v>32254.36337005929</x:v>
      </x:c>
      <x:c r="D6" s="58" t="n">
        <x:f>B6-C6</x:f>
        <x:v>0</x:v>
      </x:c>
      <x:c r="E6" s="58" t="n">
        <x:v>0.01</x:v>
      </x:c>
      <x:c r="F6" s="59" t="str">
        <x:f>IF(ABS(D6)&lt;=E6,"OK","FAIL")</x:f>
        <x:v>OK</x:v>
      </x:c>
      <x:c r="G6" t="str">
        <x:v>Cash Flow row 20</x:v>
      </x:c>
    </x:row>
    <x:row r="7">
      <x:c r="A7" t="str">
        <x:v>PPE roll-forward</x:v>
      </x:c>
      <x:c r="B7" s="58" t="n">
        <x:f>'Balance Sheet'!Y8</x:f>
        <x:v>680</x:v>
      </x:c>
      <x:c r="C7" s="58" t="n">
        <x:f>'Assumptions'!$B$9+24*'Assumptions'!$B$20+SUM('Income Statement'!B13:Y13)</x:f>
        <x:v>680</x:v>
      </x:c>
      <x:c r="D7" s="58" t="n">
        <x:f>B7-C7</x:f>
        <x:v>0</x:v>
      </x:c>
      <x:c r="E7" s="58" t="n">
        <x:v>0.01</x:v>
      </x:c>
      <x:c r="F7" s="59" t="str">
        <x:f>IF(ABS(D7)&lt;=E7,"OK","FAIL")</x:f>
        <x:v>OK</x:v>
      </x:c>
      <x:c r="G7" t="str">
        <x:v>Balance Sheet row 8</x:v>
      </x:c>
    </x:row>
    <x:row r="8">
      <x:c r="A8" t="str">
        <x:v>Debt non-negative</x:v>
      </x:c>
      <x:c r="B8" s="58" t="n">
        <x:f>MIN('Balance Sheet'!B12:Y12)</x:f>
        <x:v>1000</x:v>
      </x:c>
      <x:c r="C8" s="58" t="n">
        <x:v>0</x:v>
      </x:c>
      <x:c r="D8" s="58" t="n">
        <x:f>MIN(0,B8)</x:f>
        <x:v>0</x:v>
      </x:c>
      <x:c r="E8" s="58" t="n">
        <x:v>0</x:v>
      </x:c>
      <x:c r="F8" s="59" t="str">
        <x:f>IF(B8&gt;=0,"OK","FAIL")</x:f>
        <x:v>OK</x:v>
      </x:c>
      <x:c r="G8" t="str">
        <x:v>Assumptions / debt schedule</x:v>
      </x:c>
    </x:row>
    <x:row r="9">
      <x:c r="A9" t="str">
        <x:v>Deferred revenue non-negative</x:v>
      </x:c>
      <x:c r="B9" s="58" t="n">
        <x:f>MIN('Balance Sheet'!B10:Y10)</x:f>
        <x:v>1560</x:v>
      </x:c>
      <x:c r="C9" s="58" t="n">
        <x:v>0</x:v>
      </x:c>
      <x:c r="D9" s="58" t="n">
        <x:f>MIN(0,B9)</x:f>
        <x:v>0</x:v>
      </x:c>
      <x:c r="E9" s="58" t="n">
        <x:v>0</x:v>
      </x:c>
      <x:c r="F9" s="59" t="str">
        <x:f>IF(B9&gt;=0,"OK","FAIL")</x:f>
        <x:v>OK</x:v>
      </x:c>
      <x:c r="G9" t="str">
        <x:v>Revenue recognition assumptions</x:v>
      </x:c>
    </x:row>
    <x:row r="10">
      <x:c r="A10" s="35" t="str">
        <x:v>MODEL STATUS</x:v>
      </x:c>
      <x:c r="B10" s="35"/>
      <x:c r="C10" s="35"/>
      <x:c r="D10" s="35"/>
      <x:c r="E10" s="35"/>
      <x:c r="F10" s="60" t="str">
        <x:f>IF(COUNTIF(F5:F9,"FAIL")=0,"PASS","FAIL")</x:f>
        <x:v>PASS</x:v>
      </x:c>
      <x:c r="G10" s="35" t="str">
        <x:v>All required checks</x:v>
      </x:c>
    </x:row>
  </x:sheetData>
  <x:mergeCells>
    <x:mergeCell ref="A1:G2"/>
  </x:mergeCells>
  <x:conditionalFormatting sqref="F5:F10">
    <x:cfRule type="containsText" dxfId="0" priority="1" operator="containsText" text="OK"/>
    <x:cfRule type="containsText" dxfId="1" priority="2" operator="containsText" text="PASS"/>
    <x:cfRule type="containsText" dxfId="2" priority="3" operator="containsText" text="FAIL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2.5" hidden="0" customWidth="1"/>
    <x:col min="6" max="6" width="22.5" hidden="0" customWidth="1"/>
    <x:col min="7" max="7" width="45" hidden="0" customWidth="1"/>
    <x:col min="9" max="9" width="22.5" hidden="0" customWidth="1"/>
    <x:col min="3" max="3" width="13.75" hidden="0" customWidth="1"/>
    <x:col min="4" max="4" width="13.75" hidden="0" customWidth="1"/>
    <x:col min="5" max="5" width="13.75" hidden="0" customWidth="1"/>
    <x:col min="8" max="8" width="13.75" hidden="0" customWidth="1"/>
    <x:col min="10" max="10" width="13.75" hidden="0" customWidth="1"/>
  </x:cols>
  <x:sheetData>
    <x:row r="1" ht="26" customHeight="1">
      <x:c r="A1" s="3" t="str">
        <x:v>Sources / Audit</x:v>
      </x:c>
      <x:c r="B1" s="3" t="str">
        <x:v>Sources / Audit</x:v>
      </x:c>
      <x:c r="C1" s="3" t="str">
        <x:v>Sources / Audit</x:v>
      </x:c>
      <x:c r="D1" s="3" t="str">
        <x:v>Sources / Audit</x:v>
      </x:c>
      <x:c r="E1" s="3" t="str">
        <x:v>Sources / Audit</x:v>
      </x:c>
      <x:c r="F1" s="3" t="str">
        <x:v>Sources / Audit</x:v>
      </x:c>
      <x:c r="G1" s="3" t="str">
        <x:v>Sources / Audit</x:v>
      </x:c>
      <x:c r="H1" s="3" t="str">
        <x:v>Sources / Audit</x:v>
      </x:c>
      <x:c r="I1" s="3" t="str">
        <x:v>Sources / Audit</x:v>
      </x:c>
      <x:c r="J1" s="3" t="str">
        <x:v>Sources / Audit</x:v>
      </x:c>
    </x:row>
    <x:row r="2" ht="26" customHeight="1">
      <x:c r="A2" s="3" t="str">
        <x:v>Sources / Audit</x:v>
      </x:c>
      <x:c r="B2" s="3" t="str">
        <x:v>Sources / Audit</x:v>
      </x:c>
      <x:c r="C2" s="3" t="str">
        <x:v>Sources / Audit</x:v>
      </x:c>
      <x:c r="D2" s="3" t="str">
        <x:v>Sources / Audit</x:v>
      </x:c>
      <x:c r="E2" s="3" t="str">
        <x:v>Sources / Audit</x:v>
      </x:c>
      <x:c r="F2" s="3" t="str">
        <x:v>Sources / Audit</x:v>
      </x:c>
      <x:c r="G2" s="3" t="str">
        <x:v>Sources / Audit</x:v>
      </x:c>
      <x:c r="H2" s="3" t="str">
        <x:v>Sources / Audit</x:v>
      </x:c>
      <x:c r="I2" s="3" t="str">
        <x:v>Sources / Audit</x:v>
      </x:c>
      <x:c r="J2" s="3" t="str">
        <x:v>Sources / Audit</x:v>
      </x:c>
    </x:row>
    <x:row r="4">
      <x:c r="A4" s="23" t="str">
        <x:v>Item</x:v>
      </x:c>
      <x:c r="B4" s="24" t="str">
        <x:v>Value</x:v>
      </x:c>
      <x:c r="C4" s="24" t="str">
        <x:v>Units</x:v>
      </x:c>
      <x:c r="D4" s="24" t="str">
        <x:v>Period / as-of</x:v>
      </x:c>
      <x:c r="E4" s="24" t="str">
        <x:v>Source type</x:v>
      </x:c>
      <x:c r="F4" s="24" t="str">
        <x:v>Source name</x:v>
      </x:c>
      <x:c r="G4" s="24" t="str">
        <x:v>URL</x:v>
      </x:c>
      <x:c r="H4" s="24" t="str">
        <x:v>Owner</x:v>
      </x:c>
      <x:c r="I4" s="24" t="str">
        <x:v>Notes</x:v>
      </x:c>
      <x:c r="J4" s="25" t="str">
        <x:v>Accessed</x:v>
      </x:c>
    </x:row>
    <x:row r="5">
      <x:c r="A5" s="5" t="str">
        <x:v>Model scenario</x:v>
      </x:c>
      <x:c r="B5" s="5" t="str">
        <x:v>Atlas AI Brasil</x:v>
      </x:c>
      <x:c r="C5" s="5" t="str">
        <x:v>n/a</x:v>
      </x:c>
      <x:c r="D5" s="5" t="str">
        <x:v>2026-07-23</x:v>
      </x:c>
      <x:c r="E5" s="5" t="str">
        <x:v>Synthetic</x:v>
      </x:c>
      <x:c r="F5" s="5" t="str">
        <x:v>M1 teaching case</x:v>
      </x:c>
      <x:c r="G5" s="5" t="str"/>
      <x:c r="H5" s="5" t="str">
        <x:v>Learner</x:v>
      </x:c>
      <x:c r="I5" s="5" t="str">
        <x:v>Not a real company</x:v>
      </x:c>
      <x:c r="J5" s="5" t="str">
        <x:v>2026-07-23</x:v>
      </x:c>
    </x:row>
    <x:row r="6">
      <x:c r="A6" s="5" t="str">
        <x:v>10-K structure</x:v>
      </x:c>
      <x:c r="B6" s="5" t="str">
        <x:v>Income statement, balance sheet, cash flow and notes</x:v>
      </x:c>
      <x:c r="C6" s="5" t="str">
        <x:v>n/a</x:v>
      </x:c>
      <x:c r="D6" s="5" t="str">
        <x:v>current</x:v>
      </x:c>
      <x:c r="E6" s="5" t="str">
        <x:v>T0</x:v>
      </x:c>
      <x:c r="F6" s="5" t="str">
        <x:v>Investor.gov</x:v>
      </x:c>
      <x:c r="G6" s="5" t="str">
        <x:v>https://www.investor.gov/introduction-investing/getting-started/researching-investments/how-read-10-k</x:v>
      </x:c>
      <x:c r="H6" s="5" t="str">
        <x:v>Program</x:v>
      </x:c>
      <x:c r="I6" s="5" t="str">
        <x:v>Reading source</x:v>
      </x:c>
      <x:c r="J6" s="5" t="str">
        <x:v>2026-07-23</x:v>
      </x:c>
    </x:row>
    <x:row r="7">
      <x:c r="A7" s="5" t="str">
        <x:v>Real filing case</x:v>
      </x:c>
      <x:c r="B7" s="5" t="str">
        <x:v>Salesforce FY2026 10-K</x:v>
      </x:c>
      <x:c r="C7" s="5" t="str">
        <x:v>USD mm</x:v>
      </x:c>
      <x:c r="D7" s="5" t="str">
        <x:v>2026-01-31</x:v>
      </x:c>
      <x:c r="E7" s="5" t="str">
        <x:v>T0</x:v>
      </x:c>
      <x:c r="F7" s="5" t="str">
        <x:v>SEC EDGAR</x:v>
      </x:c>
      <x:c r="G7" s="5" t="str">
        <x:v>https://www.sec.gov/Archives/edgar/data/1108524/000110852426000060/crm-20260131.htm</x:v>
      </x:c>
      <x:c r="H7" s="5" t="str">
        <x:v>Program</x:v>
      </x:c>
      <x:c r="I7" s="5" t="str">
        <x:v>Used in module, not as model inputs</x:v>
      </x:c>
      <x:c r="J7" s="5" t="str">
        <x:v>2026-07-23</x:v>
      </x:c>
    </x:row>
    <x:row r="8">
      <x:c r="A8" s="5" t="str">
        <x:v>FX reference</x:v>
      </x:c>
      <x:c r="B8" s="5" t="str">
        <x:v>Official exchange-rate resources</x:v>
      </x:c>
      <x:c r="C8" s="5" t="str">
        <x:v>various</x:v>
      </x:c>
      <x:c r="D8" s="5" t="str">
        <x:v>current</x:v>
      </x:c>
      <x:c r="E8" s="5" t="str">
        <x:v>T0</x:v>
      </x:c>
      <x:c r="F8" s="5" t="str">
        <x:v>Banco Central do Brasil</x:v>
      </x:c>
      <x:c r="G8" s="5" t="str">
        <x:v>https://www.bcb.gov.br/estabilidadefinanceira/cambioecapitais</x:v>
      </x:c>
      <x:c r="H8" s="5" t="str">
        <x:v>Learner</x:v>
      </x:c>
      <x:c r="I8" s="5" t="str">
        <x:v>Real execution includes spread/timing</x:v>
      </x:c>
      <x:c r="J8" s="5" t="str">
        <x:v>2026-07-23</x:v>
      </x:c>
    </x:row>
  </x:sheetData>
  <x:mergeCells>
    <x:mergeCell ref="A1:J2"/>
  </x:mergeCells>
  <x:pageMargins left="0.7" right="0.7" top="0.75" bottom="0.75" header="0.3" footer="0.3"/>
</x:worksheet>
</file>